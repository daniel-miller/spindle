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se\Repos\daniel-miller\code-generator\assets\scripts\Postgres\"/>
    </mc:Choice>
  </mc:AlternateContent>
  <xr:revisionPtr revIDLastSave="0" documentId="13_ncr:1_{B788E9D2-D391-49FF-A00B-EDE4FE8276BE}" xr6:coauthVersionLast="47" xr6:coauthVersionMax="47" xr10:uidLastSave="{00000000-0000-0000-0000-000000000000}"/>
  <bookViews>
    <workbookView xWindow="38640" yWindow="990" windowWidth="36120" windowHeight="165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M1" i="1"/>
  <c r="J3" i="1"/>
  <c r="M3" i="1" s="1"/>
  <c r="J4" i="1"/>
  <c r="M4" i="1" s="1"/>
  <c r="J5" i="1"/>
  <c r="M5" i="1" s="1"/>
  <c r="J6" i="1"/>
  <c r="M6" i="1" s="1"/>
  <c r="J7" i="1"/>
  <c r="M7" i="1" s="1"/>
  <c r="J8" i="1"/>
  <c r="M8" i="1" s="1"/>
  <c r="J9" i="1"/>
  <c r="M9" i="1" s="1"/>
  <c r="J10" i="1"/>
  <c r="M10" i="1" s="1"/>
  <c r="J11" i="1"/>
  <c r="M11" i="1" s="1"/>
  <c r="J12" i="1"/>
  <c r="M12" i="1" s="1"/>
  <c r="J13" i="1"/>
  <c r="M13" i="1" s="1"/>
  <c r="J14" i="1"/>
  <c r="M14" i="1" s="1"/>
  <c r="J2" i="1"/>
  <c r="M2" i="1" s="1"/>
  <c r="K3" i="1"/>
  <c r="K4" i="1"/>
  <c r="K5" i="1"/>
  <c r="K6" i="1"/>
  <c r="K7" i="1"/>
  <c r="K8" i="1"/>
  <c r="K9" i="1"/>
  <c r="K10" i="1"/>
  <c r="K11" i="1"/>
  <c r="K12" i="1"/>
  <c r="K13" i="1"/>
  <c r="K14" i="1"/>
  <c r="K2" i="1"/>
</calcChain>
</file>

<file path=xl/sharedStrings.xml><?xml version="1.0" encoding="utf-8"?>
<sst xmlns="http://schemas.openxmlformats.org/spreadsheetml/2006/main" count="139" uniqueCount="87">
  <si>
    <t>Application</t>
  </si>
  <si>
    <t>Table</t>
  </si>
  <si>
    <t>Contact</t>
  </si>
  <si>
    <t>Content</t>
  </si>
  <si>
    <t>Bus</t>
  </si>
  <si>
    <t>Aggregate</t>
  </si>
  <si>
    <t>Event</t>
  </si>
  <si>
    <t>Metadata</t>
  </si>
  <si>
    <t>Security</t>
  </si>
  <si>
    <t>Organization</t>
  </si>
  <si>
    <t>Permission</t>
  </si>
  <si>
    <t>Utility</t>
  </si>
  <si>
    <t>component_type</t>
  </si>
  <si>
    <t>component_name</t>
  </si>
  <si>
    <t>component_feature</t>
  </si>
  <si>
    <t>entity_id</t>
  </si>
  <si>
    <t>entity_name</t>
  </si>
  <si>
    <t>collection_slug</t>
  </si>
  <si>
    <t>collection_key</t>
  </si>
  <si>
    <t>storage_structure</t>
  </si>
  <si>
    <t>storage_schema</t>
  </si>
  <si>
    <t>storage_table</t>
  </si>
  <si>
    <t>storage_key</t>
  </si>
  <si>
    <t>9ec19f6c-be6d-4932-a34a-b8694ff2ee76</t>
  </si>
  <si>
    <t>t_aggregate</t>
  </si>
  <si>
    <t>aggregate_id</t>
  </si>
  <si>
    <t>b2298c33-a0ff-4de7-be91-5272306426fb</t>
  </si>
  <si>
    <t>t_event</t>
  </si>
  <si>
    <t>event_id</t>
  </si>
  <si>
    <t>content</t>
  </si>
  <si>
    <t>dcc37f11-65e9-47b3-a271-64faa9047400</t>
  </si>
  <si>
    <t>t_translation</t>
  </si>
  <si>
    <t>translation_id</t>
  </si>
  <si>
    <t>location</t>
  </si>
  <si>
    <t>a76eb82e-ad02-4341-b4eb-386710b4e651</t>
  </si>
  <si>
    <t>t_country</t>
  </si>
  <si>
    <t>country_id</t>
  </si>
  <si>
    <t>99e52dba-1c6a-4543-a5f4-1130a3df0748</t>
  </si>
  <si>
    <t>t_province</t>
  </si>
  <si>
    <t>province_id</t>
  </si>
  <si>
    <t>metadata</t>
  </si>
  <si>
    <t>71863ff2-ff87-496e-ac3e-239bf8959d12</t>
  </si>
  <si>
    <t>t_origin</t>
  </si>
  <si>
    <t>origin_id</t>
  </si>
  <si>
    <t>146c1238-8f91-4600-ace8-eaa4e630b527</t>
  </si>
  <si>
    <t>t_version</t>
  </si>
  <si>
    <t>version_number</t>
  </si>
  <si>
    <t>security</t>
  </si>
  <si>
    <t>1391ff37-6653-4751-82c7-a34ed6e294e6</t>
  </si>
  <si>
    <t>t_organization</t>
  </si>
  <si>
    <t>organization_id</t>
  </si>
  <si>
    <t>86688277-8420-470d-8380-f9cbbbd3d82d</t>
  </si>
  <si>
    <t>t_partition</t>
  </si>
  <si>
    <t>partition_number</t>
  </si>
  <si>
    <t>f3dd3240-987e-4338-862f-f620954fba60</t>
  </si>
  <si>
    <t>t_password</t>
  </si>
  <si>
    <t>password_id</t>
  </si>
  <si>
    <t>2316b570-5ff0-4740-99db-ffb83ce58660</t>
  </si>
  <si>
    <t>t_permission</t>
  </si>
  <si>
    <t>permission_id</t>
  </si>
  <si>
    <t>aae8bd46-18cd-476b-a112-42b9a9946933</t>
  </si>
  <si>
    <t>t_resource</t>
  </si>
  <si>
    <t>resource_id</t>
  </si>
  <si>
    <t>07791095-2831-4f2f-8661-0cd329e85fab</t>
  </si>
  <si>
    <t>t_role</t>
  </si>
  <si>
    <t>role_id</t>
  </si>
  <si>
    <t>Translation</t>
  </si>
  <si>
    <t>Country</t>
  </si>
  <si>
    <t>Province</t>
  </si>
  <si>
    <t>Origin</t>
  </si>
  <si>
    <t>Version</t>
  </si>
  <si>
    <t>Partition</t>
  </si>
  <si>
    <t>Password</t>
  </si>
  <si>
    <t>Resource</t>
  </si>
  <si>
    <t>Role</t>
  </si>
  <si>
    <t>Location</t>
  </si>
  <si>
    <t>Identification</t>
  </si>
  <si>
    <t>Authorization</t>
  </si>
  <si>
    <t>Audit</t>
  </si>
  <si>
    <t>t_secret</t>
  </si>
  <si>
    <t>secret_id</t>
  </si>
  <si>
    <t>storage_table_rename</t>
  </si>
  <si>
    <t>Secret</t>
  </si>
  <si>
    <t>secrets</t>
  </si>
  <si>
    <t>{secret:guid}</t>
  </si>
  <si>
    <t>Encryption</t>
  </si>
  <si>
    <t>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</si>
</sst>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H11" sqref="H11"/>
    </sheetView>
  </sheetViews>
  <sheetFormatPr defaultRowHeight="15" x14ac:dyDescent="0.25"/>
  <cols>
    <col min="1" max="1" width="16.42578125" bestFit="1" customWidth="1"/>
    <col min="2" max="2" width="15.5703125" bestFit="1" customWidth="1"/>
    <col min="3" max="3" width="13.7109375" bestFit="1" customWidth="1"/>
    <col min="4" max="4" width="19.140625" bestFit="1" customWidth="1"/>
    <col min="5" max="5" width="16.42578125" bestFit="1" customWidth="1"/>
    <col min="6" max="11" width="20.7109375" customWidth="1"/>
    <col min="12" max="12" width="38.140625" bestFit="1" customWidth="1"/>
    <col min="13" max="14" width="20.7109375" customWidth="1"/>
  </cols>
  <sheetData>
    <row r="1" spans="1:13" x14ac:dyDescent="0.25">
      <c r="A1" t="s">
        <v>19</v>
      </c>
      <c r="B1" t="s">
        <v>20</v>
      </c>
      <c r="C1" t="s">
        <v>21</v>
      </c>
      <c r="D1" t="s">
        <v>81</v>
      </c>
      <c r="E1" t="s">
        <v>22</v>
      </c>
      <c r="F1" t="s">
        <v>12</v>
      </c>
      <c r="G1" t="s">
        <v>13</v>
      </c>
      <c r="H1" t="s">
        <v>14</v>
      </c>
      <c r="I1" t="s">
        <v>16</v>
      </c>
      <c r="J1" t="s">
        <v>17</v>
      </c>
      <c r="K1" t="s">
        <v>18</v>
      </c>
      <c r="L1" t="s">
        <v>15</v>
      </c>
      <c r="M1" s="1" t="str">
        <f>"insert into metadata.t_entity (" &amp; A1 &amp; "," &amp; B1 &amp; "," &amp; C1 &amp; "," &amp; D1 &amp; "," &amp; E1 &amp; "," &amp; F1 &amp; "," &amp; G1 &amp; "," &amp; H1 &amp; "," &amp; I1 &amp; "," &amp; J1 &amp; "," &amp; K1 &amp; "," &amp; L1 &amp; "') values"</f>
        <v>insert into metadata.t_entity (storage_structure,storage_schema,storage_table,storage_table_rename,storage_key,component_type,component_name,component_feature,entity_name,collection_slug,collection_key,entity_id') values</v>
      </c>
    </row>
    <row r="2" spans="1:13" x14ac:dyDescent="0.25">
      <c r="A2" t="s">
        <v>1</v>
      </c>
      <c r="B2" t="s">
        <v>86</v>
      </c>
      <c r="C2" t="s">
        <v>24</v>
      </c>
      <c r="E2" t="s">
        <v>25</v>
      </c>
      <c r="F2" t="s">
        <v>11</v>
      </c>
      <c r="G2" t="s">
        <v>4</v>
      </c>
      <c r="H2" t="s">
        <v>6</v>
      </c>
      <c r="I2" t="s">
        <v>5</v>
      </c>
      <c r="J2" t="str">
        <f>LOWER(I2) &amp; "s"</f>
        <v>aggregates</v>
      </c>
      <c r="K2" t="str">
        <f>"{" &amp; LOWER(I2) &amp; ":guid}"</f>
        <v>{aggregate:guid}</v>
      </c>
      <c r="L2" t="s">
        <v>23</v>
      </c>
      <c r="M2" t="str">
        <f>", ('" &amp; A2 &amp; "," &amp; B2 &amp; "," &amp; C2 &amp; "," &amp; D2 &amp; "," &amp; E2 &amp; "," &amp; F2 &amp; "," &amp; G2 &amp; "," &amp; H2 &amp; "," &amp; I2 &amp; "," &amp; J2 &amp; "," &amp; K2 &amp; "," &amp; L2 &amp; "')"</f>
        <v>, ('Table,timeline,t_aggregate,,aggregate_id,Utility,Bus,Event,Aggregate,aggregates,{aggregate:guid},9ec19f6c-be6d-4932-a34a-b8694ff2ee76')</v>
      </c>
    </row>
    <row r="3" spans="1:13" x14ac:dyDescent="0.25">
      <c r="A3" t="s">
        <v>1</v>
      </c>
      <c r="B3" t="s">
        <v>86</v>
      </c>
      <c r="C3" t="s">
        <v>27</v>
      </c>
      <c r="E3" t="s">
        <v>28</v>
      </c>
      <c r="F3" t="s">
        <v>11</v>
      </c>
      <c r="G3" t="s">
        <v>4</v>
      </c>
      <c r="H3" t="s">
        <v>6</v>
      </c>
      <c r="I3" t="s">
        <v>6</v>
      </c>
      <c r="J3" t="str">
        <f t="shared" ref="J3:J14" si="0">LOWER(I3) &amp; "s"</f>
        <v>events</v>
      </c>
      <c r="K3" t="str">
        <f t="shared" ref="K3:K14" si="1">"{" &amp; LOWER(I3) &amp; ":guid}"</f>
        <v>{event:guid}</v>
      </c>
      <c r="L3" t="s">
        <v>26</v>
      </c>
      <c r="M3" t="str">
        <f t="shared" ref="M3:M15" si="2">", ('" &amp; A3 &amp; "," &amp; B3 &amp; "," &amp; C3 &amp; "," &amp; D3 &amp; "," &amp; E3 &amp; "," &amp; F3 &amp; "," &amp; G3 &amp; "," &amp; H3 &amp; "," &amp; I3 &amp; "," &amp; J3 &amp; "," &amp; K3 &amp; "," &amp; L3 &amp; "')"</f>
        <v>, ('Table,timeline,t_event,,event_id,Utility,Bus,Event,Event,events,{event:guid},b2298c33-a0ff-4de7-be91-5272306426fb')</v>
      </c>
    </row>
    <row r="4" spans="1:13" x14ac:dyDescent="0.25">
      <c r="A4" t="s">
        <v>1</v>
      </c>
      <c r="B4" t="s">
        <v>29</v>
      </c>
      <c r="C4" t="s">
        <v>31</v>
      </c>
      <c r="E4" t="s">
        <v>32</v>
      </c>
      <c r="F4" t="s">
        <v>0</v>
      </c>
      <c r="G4" t="s">
        <v>3</v>
      </c>
      <c r="H4" t="s">
        <v>66</v>
      </c>
      <c r="I4" t="s">
        <v>66</v>
      </c>
      <c r="J4" t="str">
        <f t="shared" si="0"/>
        <v>translations</v>
      </c>
      <c r="K4" t="str">
        <f t="shared" si="1"/>
        <v>{translation:guid}</v>
      </c>
      <c r="L4" t="s">
        <v>30</v>
      </c>
      <c r="M4" t="str">
        <f t="shared" si="2"/>
        <v>, ('Table,content,t_translation,,translation_id,Application,Content,Translation,Translation,translations,{translation:guid},dcc37f11-65e9-47b3-a271-64faa9047400')</v>
      </c>
    </row>
    <row r="5" spans="1:13" x14ac:dyDescent="0.25">
      <c r="A5" t="s">
        <v>1</v>
      </c>
      <c r="B5" t="s">
        <v>33</v>
      </c>
      <c r="C5" t="s">
        <v>35</v>
      </c>
      <c r="E5" t="s">
        <v>36</v>
      </c>
      <c r="F5" t="s">
        <v>0</v>
      </c>
      <c r="G5" t="s">
        <v>2</v>
      </c>
      <c r="H5" t="s">
        <v>75</v>
      </c>
      <c r="I5" t="s">
        <v>67</v>
      </c>
      <c r="J5" t="str">
        <f t="shared" si="0"/>
        <v>countrys</v>
      </c>
      <c r="K5" t="str">
        <f t="shared" si="1"/>
        <v>{country:guid}</v>
      </c>
      <c r="L5" t="s">
        <v>34</v>
      </c>
      <c r="M5" t="str">
        <f t="shared" si="2"/>
        <v>, ('Table,location,t_country,,country_id,Application,Contact,Location,Country,countrys,{country:guid},a76eb82e-ad02-4341-b4eb-386710b4e651')</v>
      </c>
    </row>
    <row r="6" spans="1:13" x14ac:dyDescent="0.25">
      <c r="A6" t="s">
        <v>1</v>
      </c>
      <c r="B6" t="s">
        <v>33</v>
      </c>
      <c r="C6" t="s">
        <v>38</v>
      </c>
      <c r="E6" t="s">
        <v>39</v>
      </c>
      <c r="F6" t="s">
        <v>0</v>
      </c>
      <c r="G6" t="s">
        <v>2</v>
      </c>
      <c r="H6" t="s">
        <v>75</v>
      </c>
      <c r="I6" t="s">
        <v>68</v>
      </c>
      <c r="J6" t="str">
        <f t="shared" si="0"/>
        <v>provinces</v>
      </c>
      <c r="K6" t="str">
        <f t="shared" si="1"/>
        <v>{province:guid}</v>
      </c>
      <c r="L6" t="s">
        <v>37</v>
      </c>
      <c r="M6" t="str">
        <f t="shared" si="2"/>
        <v>, ('Table,location,t_province,,province_id,Application,Contact,Location,Province,provinces,{province:guid},99e52dba-1c6a-4543-a5f4-1130a3df0748')</v>
      </c>
    </row>
    <row r="7" spans="1:13" x14ac:dyDescent="0.25">
      <c r="A7" t="s">
        <v>1</v>
      </c>
      <c r="B7" t="s">
        <v>40</v>
      </c>
      <c r="C7" t="s">
        <v>42</v>
      </c>
      <c r="E7" t="s">
        <v>43</v>
      </c>
      <c r="F7" t="s">
        <v>11</v>
      </c>
      <c r="G7" t="s">
        <v>7</v>
      </c>
      <c r="H7" t="s">
        <v>78</v>
      </c>
      <c r="I7" t="s">
        <v>69</v>
      </c>
      <c r="J7" t="str">
        <f t="shared" si="0"/>
        <v>origins</v>
      </c>
      <c r="K7" t="str">
        <f t="shared" si="1"/>
        <v>{origin:guid}</v>
      </c>
      <c r="L7" t="s">
        <v>41</v>
      </c>
      <c r="M7" t="str">
        <f t="shared" si="2"/>
        <v>, ('Table,metadata,t_origin,,origin_id,Utility,Metadata,Audit,Origin,origins,{origin:guid},71863ff2-ff87-496e-ac3e-239bf8959d12')</v>
      </c>
    </row>
    <row r="8" spans="1:13" x14ac:dyDescent="0.25">
      <c r="A8" t="s">
        <v>1</v>
      </c>
      <c r="B8" t="s">
        <v>40</v>
      </c>
      <c r="C8" t="s">
        <v>45</v>
      </c>
      <c r="E8" t="s">
        <v>46</v>
      </c>
      <c r="F8" t="s">
        <v>11</v>
      </c>
      <c r="G8" t="s">
        <v>7</v>
      </c>
      <c r="H8" t="s">
        <v>78</v>
      </c>
      <c r="I8" t="s">
        <v>70</v>
      </c>
      <c r="J8" t="str">
        <f t="shared" si="0"/>
        <v>versions</v>
      </c>
      <c r="K8" t="str">
        <f t="shared" si="1"/>
        <v>{version:guid}</v>
      </c>
      <c r="L8" t="s">
        <v>44</v>
      </c>
      <c r="M8" t="str">
        <f t="shared" si="2"/>
        <v>, ('Table,metadata,t_version,,version_number,Utility,Metadata,Audit,Version,versions,{version:guid},146c1238-8f91-4600-ace8-eaa4e630b527')</v>
      </c>
    </row>
    <row r="9" spans="1:13" x14ac:dyDescent="0.25">
      <c r="A9" t="s">
        <v>1</v>
      </c>
      <c r="B9" t="s">
        <v>47</v>
      </c>
      <c r="C9" t="s">
        <v>49</v>
      </c>
      <c r="E9" t="s">
        <v>50</v>
      </c>
      <c r="F9" t="s">
        <v>11</v>
      </c>
      <c r="G9" t="s">
        <v>8</v>
      </c>
      <c r="H9" t="s">
        <v>76</v>
      </c>
      <c r="I9" t="s">
        <v>9</v>
      </c>
      <c r="J9" t="str">
        <f t="shared" si="0"/>
        <v>organizations</v>
      </c>
      <c r="K9" t="str">
        <f t="shared" si="1"/>
        <v>{organization:guid}</v>
      </c>
      <c r="L9" t="s">
        <v>48</v>
      </c>
      <c r="M9" t="str">
        <f t="shared" si="2"/>
        <v>, ('Table,security,t_organization,,organization_id,Utility,Security,Identification,Organization,organizations,{organization:guid},1391ff37-6653-4751-82c7-a34ed6e294e6')</v>
      </c>
    </row>
    <row r="10" spans="1:13" x14ac:dyDescent="0.25">
      <c r="A10" t="s">
        <v>1</v>
      </c>
      <c r="B10" t="s">
        <v>47</v>
      </c>
      <c r="C10" t="s">
        <v>52</v>
      </c>
      <c r="E10" t="s">
        <v>53</v>
      </c>
      <c r="F10" t="s">
        <v>11</v>
      </c>
      <c r="G10" t="s">
        <v>8</v>
      </c>
      <c r="H10" t="s">
        <v>76</v>
      </c>
      <c r="I10" t="s">
        <v>71</v>
      </c>
      <c r="J10" t="str">
        <f t="shared" si="0"/>
        <v>partitions</v>
      </c>
      <c r="K10" t="str">
        <f t="shared" si="1"/>
        <v>{partition:guid}</v>
      </c>
      <c r="L10" t="s">
        <v>51</v>
      </c>
      <c r="M10" t="str">
        <f t="shared" si="2"/>
        <v>, ('Table,security,t_partition,,partition_number,Utility,Security,Identification,Partition,partitions,{partition:guid},86688277-8420-470d-8380-f9cbbbd3d82d')</v>
      </c>
    </row>
    <row r="11" spans="1:13" x14ac:dyDescent="0.25">
      <c r="A11" t="s">
        <v>1</v>
      </c>
      <c r="B11" t="s">
        <v>47</v>
      </c>
      <c r="C11" t="s">
        <v>55</v>
      </c>
      <c r="E11" t="s">
        <v>56</v>
      </c>
      <c r="F11" t="s">
        <v>11</v>
      </c>
      <c r="G11" t="s">
        <v>8</v>
      </c>
      <c r="H11" t="s">
        <v>76</v>
      </c>
      <c r="I11" t="s">
        <v>72</v>
      </c>
      <c r="J11" t="str">
        <f t="shared" si="0"/>
        <v>passwords</v>
      </c>
      <c r="K11" t="str">
        <f t="shared" si="1"/>
        <v>{password:guid}</v>
      </c>
      <c r="L11" t="s">
        <v>54</v>
      </c>
      <c r="M11" t="str">
        <f t="shared" si="2"/>
        <v>, ('Table,security,t_password,,password_id,Utility,Security,Identification,Password,passwords,{password:guid},f3dd3240-987e-4338-862f-f620954fba60')</v>
      </c>
    </row>
    <row r="12" spans="1:13" x14ac:dyDescent="0.25">
      <c r="A12" t="s">
        <v>1</v>
      </c>
      <c r="B12" t="s">
        <v>47</v>
      </c>
      <c r="C12" t="s">
        <v>58</v>
      </c>
      <c r="E12" t="s">
        <v>59</v>
      </c>
      <c r="F12" t="s">
        <v>11</v>
      </c>
      <c r="G12" t="s">
        <v>8</v>
      </c>
      <c r="H12" t="s">
        <v>77</v>
      </c>
      <c r="I12" t="s">
        <v>10</v>
      </c>
      <c r="J12" t="str">
        <f t="shared" si="0"/>
        <v>permissions</v>
      </c>
      <c r="K12" t="str">
        <f t="shared" si="1"/>
        <v>{permission:guid}</v>
      </c>
      <c r="L12" t="s">
        <v>57</v>
      </c>
      <c r="M12" t="str">
        <f t="shared" si="2"/>
        <v>, ('Table,security,t_permission,,permission_id,Utility,Security,Authorization,Permission,permissions,{permission:guid},2316b570-5ff0-4740-99db-ffb83ce58660')</v>
      </c>
    </row>
    <row r="13" spans="1:13" x14ac:dyDescent="0.25">
      <c r="A13" t="s">
        <v>1</v>
      </c>
      <c r="B13" t="s">
        <v>47</v>
      </c>
      <c r="C13" t="s">
        <v>61</v>
      </c>
      <c r="E13" t="s">
        <v>62</v>
      </c>
      <c r="F13" t="s">
        <v>11</v>
      </c>
      <c r="G13" t="s">
        <v>8</v>
      </c>
      <c r="H13" t="s">
        <v>77</v>
      </c>
      <c r="I13" t="s">
        <v>73</v>
      </c>
      <c r="J13" t="str">
        <f t="shared" si="0"/>
        <v>resources</v>
      </c>
      <c r="K13" t="str">
        <f t="shared" si="1"/>
        <v>{resource:guid}</v>
      </c>
      <c r="L13" t="s">
        <v>60</v>
      </c>
      <c r="M13" t="str">
        <f t="shared" si="2"/>
        <v>, ('Table,security,t_resource,,resource_id,Utility,Security,Authorization,Resource,resources,{resource:guid},aae8bd46-18cd-476b-a112-42b9a9946933')</v>
      </c>
    </row>
    <row r="14" spans="1:13" x14ac:dyDescent="0.25">
      <c r="A14" t="s">
        <v>1</v>
      </c>
      <c r="B14" t="s">
        <v>47</v>
      </c>
      <c r="C14" t="s">
        <v>64</v>
      </c>
      <c r="E14" t="s">
        <v>65</v>
      </c>
      <c r="F14" t="s">
        <v>11</v>
      </c>
      <c r="G14" t="s">
        <v>8</v>
      </c>
      <c r="H14" t="s">
        <v>76</v>
      </c>
      <c r="I14" t="s">
        <v>74</v>
      </c>
      <c r="J14" t="str">
        <f t="shared" si="0"/>
        <v>roles</v>
      </c>
      <c r="K14" t="str">
        <f t="shared" si="1"/>
        <v>{role:guid}</v>
      </c>
      <c r="L14" t="s">
        <v>63</v>
      </c>
      <c r="M14" t="str">
        <f t="shared" si="2"/>
        <v>, ('Table,security,t_role,,role_id,Utility,Security,Identification,Role,roles,{role:guid},07791095-2831-4f2f-8661-0cd329e85fab')</v>
      </c>
    </row>
    <row r="15" spans="1:13" x14ac:dyDescent="0.25">
      <c r="A15" t="s">
        <v>1</v>
      </c>
      <c r="B15" t="s">
        <v>47</v>
      </c>
      <c r="C15" t="s">
        <v>79</v>
      </c>
      <c r="E15" t="s">
        <v>80</v>
      </c>
      <c r="F15" t="s">
        <v>11</v>
      </c>
      <c r="G15" t="s">
        <v>8</v>
      </c>
      <c r="H15" t="s">
        <v>85</v>
      </c>
      <c r="I15" t="s">
        <v>82</v>
      </c>
      <c r="J15" t="s">
        <v>83</v>
      </c>
      <c r="K15" t="s">
        <v>84</v>
      </c>
      <c r="M15" t="str">
        <f t="shared" si="2"/>
        <v>, ('Table,security,t_secret,,secret_id,Utility,Security,Encryption,Secret,secrets,{secret:guid},')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Miller</cp:lastModifiedBy>
  <dcterms:created xsi:type="dcterms:W3CDTF">2025-01-16T04:03:16Z</dcterms:created>
  <dcterms:modified xsi:type="dcterms:W3CDTF">2025-05-04T16:16:03Z</dcterms:modified>
</cp:coreProperties>
</file>