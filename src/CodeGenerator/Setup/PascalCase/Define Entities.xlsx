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\repo\daniel-miller\code-generator\src\CodeGenerator\Setup\PascalCase\"/>
    </mc:Choice>
  </mc:AlternateContent>
  <xr:revisionPtr revIDLastSave="0" documentId="13_ncr:1_{0003266B-CE47-4C55-96EE-D74D89D9CC79}" xr6:coauthVersionLast="47" xr6:coauthVersionMax="47" xr10:uidLastSave="{00000000-0000-0000-0000-000000000000}"/>
  <bookViews>
    <workbookView xWindow="16965" yWindow="5940" windowWidth="44985" windowHeight="12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" i="1"/>
</calcChain>
</file>

<file path=xl/sharedStrings.xml><?xml version="1.0" encoding="utf-8"?>
<sst xmlns="http://schemas.openxmlformats.org/spreadsheetml/2006/main" count="2342" uniqueCount="1348">
  <si>
    <t>Assessment</t>
  </si>
  <si>
    <t>Attempt</t>
  </si>
  <si>
    <t>attempts</t>
  </si>
  <si>
    <t>Projection</t>
  </si>
  <si>
    <t>assessments</t>
  </si>
  <si>
    <t>QAttempt</t>
  </si>
  <si>
    <t>AttemptIdentifier</t>
  </si>
  <si>
    <t>AttemptMatch</t>
  </si>
  <si>
    <t>attempts-matches</t>
  </si>
  <si>
    <t>{attempt:guid}/{question:guid}/{match:int}</t>
  </si>
  <si>
    <t>QAttemptMatch</t>
  </si>
  <si>
    <t>AttemptIdentifier,MatchSequence,QuestionIdentifier</t>
  </si>
  <si>
    <t>AttemptOption</t>
  </si>
  <si>
    <t>attempts-options</t>
  </si>
  <si>
    <t>{attempt:guid}/{question:guid}/{option:int}</t>
  </si>
  <si>
    <t>QAttemptOption</t>
  </si>
  <si>
    <t>AttemptIdentifier,OptionKey,QuestionIdentifier</t>
  </si>
  <si>
    <t>AttemptPin</t>
  </si>
  <si>
    <t>attempts-pins</t>
  </si>
  <si>
    <t>{attempt:guid}/{question:guid}/{pin:int}</t>
  </si>
  <si>
    <t>QAttemptPin</t>
  </si>
  <si>
    <t>AttemptIdentifier,PinSequence,QuestionIdentifier</t>
  </si>
  <si>
    <t>AttemptQuestion</t>
  </si>
  <si>
    <t>attempts-questions</t>
  </si>
  <si>
    <t>{attempt:guid}/{question:guid}</t>
  </si>
  <si>
    <t>QAttemptQuestion</t>
  </si>
  <si>
    <t>AttemptIdentifier,QuestionIdentifier</t>
  </si>
  <si>
    <t>Bank</t>
  </si>
  <si>
    <t>banks</t>
  </si>
  <si>
    <t>QBank</t>
  </si>
  <si>
    <t>BankIdentifier</t>
  </si>
  <si>
    <t>BankForm</t>
  </si>
  <si>
    <t>banks-forms</t>
  </si>
  <si>
    <t>QBankForm</t>
  </si>
  <si>
    <t>FormIdentifier</t>
  </si>
  <si>
    <t>BankQuestion</t>
  </si>
  <si>
    <t>banks-questions</t>
  </si>
  <si>
    <t>QBankQuestion</t>
  </si>
  <si>
    <t>QuestionIdentifier</t>
  </si>
  <si>
    <t>BankQuestionAttachment</t>
  </si>
  <si>
    <t>banks-questions-attachments</t>
  </si>
  <si>
    <t>{question:guid}/{attachment:guid}</t>
  </si>
  <si>
    <t>QBankQuestionAttachment</t>
  </si>
  <si>
    <t>QuestionIdentifier,UploadIdentifier</t>
  </si>
  <si>
    <t>BankQuestionCompetency</t>
  </si>
  <si>
    <t>banks-questions-competencies</t>
  </si>
  <si>
    <t>{question:guid}/{competency:guid}</t>
  </si>
  <si>
    <t>QBankQuestionSubCompetency</t>
  </si>
  <si>
    <t>QuestionIdentifier,SubCompetencyIdentifier</t>
  </si>
  <si>
    <t>BankSpecification</t>
  </si>
  <si>
    <t>banks-specifications</t>
  </si>
  <si>
    <t>QBankSpecification</t>
  </si>
  <si>
    <t>SpecIdentifier</t>
  </si>
  <si>
    <t>Billing</t>
  </si>
  <si>
    <t>Discounts</t>
  </si>
  <si>
    <t>Discount</t>
  </si>
  <si>
    <t>discounts</t>
  </si>
  <si>
    <t>Table</t>
  </si>
  <si>
    <t>payments</t>
  </si>
  <si>
    <t>TDiscount</t>
  </si>
  <si>
    <t>DiscountIdentifier</t>
  </si>
  <si>
    <t>Invoices</t>
  </si>
  <si>
    <t>Invoice</t>
  </si>
  <si>
    <t>invoices</t>
  </si>
  <si>
    <t>QInvoice</t>
  </si>
  <si>
    <t>InvoiceIdentifier</t>
  </si>
  <si>
    <t>InvoiceItem</t>
  </si>
  <si>
    <t>invoices-items</t>
  </si>
  <si>
    <t>QInvoiceItem</t>
  </si>
  <si>
    <t>ItemIdentifier</t>
  </si>
  <si>
    <t>Payments</t>
  </si>
  <si>
    <t>Payment</t>
  </si>
  <si>
    <t>QPayment</t>
  </si>
  <si>
    <t>PaymentIdentifier</t>
  </si>
  <si>
    <t>Products</t>
  </si>
  <si>
    <t>Product</t>
  </si>
  <si>
    <t>products</t>
  </si>
  <si>
    <t>TProduct</t>
  </si>
  <si>
    <t>ProductIdentifier</t>
  </si>
  <si>
    <t>Groups</t>
  </si>
  <si>
    <t>Group</t>
  </si>
  <si>
    <t>groups</t>
  </si>
  <si>
    <t>contacts</t>
  </si>
  <si>
    <t>QGroup</t>
  </si>
  <si>
    <t>GroupIdentifier</t>
  </si>
  <si>
    <t>GroupAddress</t>
  </si>
  <si>
    <t>groups-addresses</t>
  </si>
  <si>
    <t>QGroupAddress</t>
  </si>
  <si>
    <t>AddressIdentifier</t>
  </si>
  <si>
    <t>identities</t>
  </si>
  <si>
    <t>GroupConnection</t>
  </si>
  <si>
    <t>groups-connections</t>
  </si>
  <si>
    <t>{parent:guid}/{child:guid}</t>
  </si>
  <si>
    <t>QGroupConnection</t>
  </si>
  <si>
    <t>ChildGroupIdentifier,ParentGroupIdentifier</t>
  </si>
  <si>
    <t>TGroupSetting</t>
  </si>
  <si>
    <t>SettingIdentifier</t>
  </si>
  <si>
    <t>GroupTag</t>
  </si>
  <si>
    <t>groups-tags</t>
  </si>
  <si>
    <t>QGroupTag</t>
  </si>
  <si>
    <t>TagIdentifier</t>
  </si>
  <si>
    <t>Memberships</t>
  </si>
  <si>
    <t>Membership</t>
  </si>
  <si>
    <t>memberships</t>
  </si>
  <si>
    <t>QMembership</t>
  </si>
  <si>
    <t>MembershipIdentifier</t>
  </si>
  <si>
    <t>MembershipDeletion</t>
  </si>
  <si>
    <t>memberships-deletions</t>
  </si>
  <si>
    <t>QMembershipDeletion</t>
  </si>
  <si>
    <t>DeletionIdentifier</t>
  </si>
  <si>
    <t>Person</t>
  </si>
  <si>
    <t>QPerson</t>
  </si>
  <si>
    <t>PersonIdentifier</t>
  </si>
  <si>
    <t>PersonField</t>
  </si>
  <si>
    <t>TPersonField</t>
  </si>
  <si>
    <t>FieldIdentifier</t>
  </si>
  <si>
    <t>PersonSecret</t>
  </si>
  <si>
    <t>SecretIdentifier</t>
  </si>
  <si>
    <t>Content</t>
  </si>
  <si>
    <t>Comments</t>
  </si>
  <si>
    <t>Comment</t>
  </si>
  <si>
    <t>comments</t>
  </si>
  <si>
    <t>assets</t>
  </si>
  <si>
    <t>QComment</t>
  </si>
  <si>
    <t>CommentIdentifier</t>
  </si>
  <si>
    <t>Files</t>
  </si>
  <si>
    <t>File</t>
  </si>
  <si>
    <t>files</t>
  </si>
  <si>
    <t>TFile</t>
  </si>
  <si>
    <t>FileIdentifier</t>
  </si>
  <si>
    <t>FileActivity</t>
  </si>
  <si>
    <t>files-activities</t>
  </si>
  <si>
    <t>TFileActivity</t>
  </si>
  <si>
    <t>ActivityIdentifier</t>
  </si>
  <si>
    <t>FileClaim</t>
  </si>
  <si>
    <t>files-claims</t>
  </si>
  <si>
    <t>TFileClaim</t>
  </si>
  <si>
    <t>ClaimIdentifier</t>
  </si>
  <si>
    <t>Glossaries</t>
  </si>
  <si>
    <t>GlossaryContent</t>
  </si>
  <si>
    <t>glossaries-contents</t>
  </si>
  <si>
    <t>QGlossaryTermContent</t>
  </si>
  <si>
    <t>RelationshipIdentifier</t>
  </si>
  <si>
    <t>GlossaryTerm</t>
  </si>
  <si>
    <t>glossaries-terms</t>
  </si>
  <si>
    <t>QGlossaryTerm</t>
  </si>
  <si>
    <t>TermIdentifier</t>
  </si>
  <si>
    <t>contents</t>
  </si>
  <si>
    <t>TContent</t>
  </si>
  <si>
    <t>ContentIdentifier</t>
  </si>
  <si>
    <t>Pages</t>
  </si>
  <si>
    <t>Page</t>
  </si>
  <si>
    <t>pages</t>
  </si>
  <si>
    <t>sites</t>
  </si>
  <si>
    <t>QPage</t>
  </si>
  <si>
    <t>PageIdentifier</t>
  </si>
  <si>
    <t>Sites</t>
  </si>
  <si>
    <t>Site</t>
  </si>
  <si>
    <t>QSite</t>
  </si>
  <si>
    <t>SiteIdentifier</t>
  </si>
  <si>
    <t>Upload</t>
  </si>
  <si>
    <t>uploads</t>
  </si>
  <si>
    <t>resources</t>
  </si>
  <si>
    <t>UploadIdentifier</t>
  </si>
  <si>
    <t>UploadObject</t>
  </si>
  <si>
    <t>uploads-objects</t>
  </si>
  <si>
    <t>{upload:guid}/{object:guid}</t>
  </si>
  <si>
    <t>UploadRelation</t>
  </si>
  <si>
    <t>ContainerIdentifier,UploadIdentifier</t>
  </si>
  <si>
    <t>Job</t>
  </si>
  <si>
    <t>jobs</t>
  </si>
  <si>
    <t>TApplication</t>
  </si>
  <si>
    <t>ApplicationIdentifier</t>
  </si>
  <si>
    <t>Candidates</t>
  </si>
  <si>
    <t>CandidateEducation</t>
  </si>
  <si>
    <t>candidates-educations</t>
  </si>
  <si>
    <t>TCandidateEducation</t>
  </si>
  <si>
    <t>EducationIdentifier</t>
  </si>
  <si>
    <t>CandidateExperience</t>
  </si>
  <si>
    <t>candidates-experiences</t>
  </si>
  <si>
    <t>TCandidateExperience</t>
  </si>
  <si>
    <t>ExperienceIdentifier</t>
  </si>
  <si>
    <t>CandidateExperienceItem</t>
  </si>
  <si>
    <t>candidates-experiences-items</t>
  </si>
  <si>
    <t>TCandidateExperienceItem</t>
  </si>
  <si>
    <t>ExperienceItemIdentifier</t>
  </si>
  <si>
    <t>CandidateFile</t>
  </si>
  <si>
    <t>candidates-files</t>
  </si>
  <si>
    <t>TCandidateUpload</t>
  </si>
  <si>
    <t>CandidateLanguageProficiency</t>
  </si>
  <si>
    <t>TCandidateLanguageProficiency</t>
  </si>
  <si>
    <t>LanguageProficiencyIdentifier</t>
  </si>
  <si>
    <t>Opportunities</t>
  </si>
  <si>
    <t>Opportunity</t>
  </si>
  <si>
    <t>opportunities</t>
  </si>
  <si>
    <t>TOpportunity</t>
  </si>
  <si>
    <t>OpportunityIdentifier</t>
  </si>
  <si>
    <t>OpportunityCategory</t>
  </si>
  <si>
    <t>opportunities-categories</t>
  </si>
  <si>
    <t>TOpportunityCategory</t>
  </si>
  <si>
    <t>JunctionIdentifier</t>
  </si>
  <si>
    <t>Learning</t>
  </si>
  <si>
    <t>Activities</t>
  </si>
  <si>
    <t>Activity</t>
  </si>
  <si>
    <t>activities</t>
  </si>
  <si>
    <t>courses</t>
  </si>
  <si>
    <t>ActivityCompetency</t>
  </si>
  <si>
    <t>activities-competencies</t>
  </si>
  <si>
    <t>{activity:guid}/{competency:guid}</t>
  </si>
  <si>
    <t>Courses</t>
  </si>
  <si>
    <t>Course</t>
  </si>
  <si>
    <t>CourseIdentifier</t>
  </si>
  <si>
    <t>Enrollments</t>
  </si>
  <si>
    <t>CourseEnrollment</t>
  </si>
  <si>
    <t>courses-enrollments</t>
  </si>
  <si>
    <t>EnrollmentIdentifier</t>
  </si>
  <si>
    <t>Logbooks</t>
  </si>
  <si>
    <t>Logbook</t>
  </si>
  <si>
    <t>logbooks</t>
  </si>
  <si>
    <t>records</t>
  </si>
  <si>
    <t>QJournal</t>
  </si>
  <si>
    <t>JournalIdentifier</t>
  </si>
  <si>
    <t>LogbookCompetency</t>
  </si>
  <si>
    <t>logbooks-competencies</t>
  </si>
  <si>
    <t>{logbook:guid}/{competency:guid}</t>
  </si>
  <si>
    <t>QExperienceCompetency</t>
  </si>
  <si>
    <t>CompetencyStandardIdentifier,ExperienceIdentifier</t>
  </si>
  <si>
    <t>LogbookExperience</t>
  </si>
  <si>
    <t>logbooks-experiences</t>
  </si>
  <si>
    <t>QExperience</t>
  </si>
  <si>
    <t>Regulation</t>
  </si>
  <si>
    <t>regulations</t>
  </si>
  <si>
    <t>QJournalSetup</t>
  </si>
  <si>
    <t>JournalSetupIdentifier</t>
  </si>
  <si>
    <t>RegulationCompetency</t>
  </si>
  <si>
    <t>regulations-competencies</t>
  </si>
  <si>
    <t>{regulation:guid}/{competency:guid}</t>
  </si>
  <si>
    <t>QCompetencyRequirement</t>
  </si>
  <si>
    <t>CompetencyStandardIdentifier,JournalSetupIdentifier</t>
  </si>
  <si>
    <t>RegulationField</t>
  </si>
  <si>
    <t>regulations-fields</t>
  </si>
  <si>
    <t>QJournalSetupField</t>
  </si>
  <si>
    <t>JournalSetupFieldIdentifier</t>
  </si>
  <si>
    <t>RegulationUser</t>
  </si>
  <si>
    <t>regulations-users</t>
  </si>
  <si>
    <t>QJournalSetupUser</t>
  </si>
  <si>
    <t>Modules</t>
  </si>
  <si>
    <t>Module</t>
  </si>
  <si>
    <t>modules</t>
  </si>
  <si>
    <t>ModuleIdentifier</t>
  </si>
  <si>
    <t>Prerequisites</t>
  </si>
  <si>
    <t>Prerequisite</t>
  </si>
  <si>
    <t>prerequisites</t>
  </si>
  <si>
    <t>TPrerequisite</t>
  </si>
  <si>
    <t>PrerequisiteIdentifier</t>
  </si>
  <si>
    <t>QAchievementPrerequisite</t>
  </si>
  <si>
    <t>Programs</t>
  </si>
  <si>
    <t>Program</t>
  </si>
  <si>
    <t>programs</t>
  </si>
  <si>
    <t>TProgram</t>
  </si>
  <si>
    <t>ProgramIdentifier</t>
  </si>
  <si>
    <t>ProgramEnrollment</t>
  </si>
  <si>
    <t>programs-enrollments</t>
  </si>
  <si>
    <t>TProgramEnrollment</t>
  </si>
  <si>
    <t>Task</t>
  </si>
  <si>
    <t>tasks</t>
  </si>
  <si>
    <t>TTask</t>
  </si>
  <si>
    <t>TaskIdentifier</t>
  </si>
  <si>
    <t>TaskEnrollment</t>
  </si>
  <si>
    <t>tasks-enrollments</t>
  </si>
  <si>
    <t>TTaskEnrollment</t>
  </si>
  <si>
    <t>Units</t>
  </si>
  <si>
    <t>Unit</t>
  </si>
  <si>
    <t>units</t>
  </si>
  <si>
    <t>UnitIdentifier</t>
  </si>
  <si>
    <t>Message</t>
  </si>
  <si>
    <t>Mailouts</t>
  </si>
  <si>
    <t>Mailout</t>
  </si>
  <si>
    <t>mailouts</t>
  </si>
  <si>
    <t>communications</t>
  </si>
  <si>
    <t>QMailout</t>
  </si>
  <si>
    <t>MailoutIdentifier</t>
  </si>
  <si>
    <t>MailoutClick</t>
  </si>
  <si>
    <t>mailouts-clicks</t>
  </si>
  <si>
    <t>messages</t>
  </si>
  <si>
    <t>QClick</t>
  </si>
  <si>
    <t>ClickIdentifier</t>
  </si>
  <si>
    <t>MailoutRecipient</t>
  </si>
  <si>
    <t>mailouts-recipients</t>
  </si>
  <si>
    <t>QRecipient</t>
  </si>
  <si>
    <t>RecipientIdentifier</t>
  </si>
  <si>
    <t>Messages</t>
  </si>
  <si>
    <t>QMessage</t>
  </si>
  <si>
    <t>MessageIdentifier</t>
  </si>
  <si>
    <t>MessageLink</t>
  </si>
  <si>
    <t>messages-links</t>
  </si>
  <si>
    <t>QLink</t>
  </si>
  <si>
    <t>LinkIdentifier</t>
  </si>
  <si>
    <t>Subscribers</t>
  </si>
  <si>
    <t>SubscriberFollower</t>
  </si>
  <si>
    <t>subscribers-followers</t>
  </si>
  <si>
    <t>QFollower</t>
  </si>
  <si>
    <t>JoinIdentifier</t>
  </si>
  <si>
    <t>SubscriberGroup</t>
  </si>
  <si>
    <t>subscribers-groups</t>
  </si>
  <si>
    <t>{message:guid}/{group:guid}</t>
  </si>
  <si>
    <t>QSubscriberGroup</t>
  </si>
  <si>
    <t>GroupIdentifier,MessageIdentifier</t>
  </si>
  <si>
    <t>SubscriberUser</t>
  </si>
  <si>
    <t>subscribers-users</t>
  </si>
  <si>
    <t>{message:guid}/{user:guid}</t>
  </si>
  <si>
    <t>QSubscriberUser</t>
  </si>
  <si>
    <t>MessageIdentifier,UserIdentifier</t>
  </si>
  <si>
    <t>Achievements</t>
  </si>
  <si>
    <t>Achievement</t>
  </si>
  <si>
    <t>achievements</t>
  </si>
  <si>
    <t>QAchievement</t>
  </si>
  <si>
    <t>AchievementIdentifier</t>
  </si>
  <si>
    <t>TAchievementCategory</t>
  </si>
  <si>
    <t>{achievement:guid}/{category:guid}</t>
  </si>
  <si>
    <t>{achievement:guid}/{competency:guid}</t>
  </si>
  <si>
    <t>AchievementIdentifier,StandardIdentifier</t>
  </si>
  <si>
    <t>AchievementGroup</t>
  </si>
  <si>
    <t>achievements-groups</t>
  </si>
  <si>
    <t>TAchievementDepartment</t>
  </si>
  <si>
    <t>AchievementOrganization</t>
  </si>
  <si>
    <t>achievements-organizations</t>
  </si>
  <si>
    <t>{achievement:guid}/{organization:guid}</t>
  </si>
  <si>
    <t>TAchievementOrganization</t>
  </si>
  <si>
    <t>AchievementIdentifier,OrganizationIdentifier</t>
  </si>
  <si>
    <t>Certificates</t>
  </si>
  <si>
    <t>Certificate</t>
  </si>
  <si>
    <t>certificates</t>
  </si>
  <si>
    <t>TCertificateLayout</t>
  </si>
  <si>
    <t>CertificateLayoutIdentifier</t>
  </si>
  <si>
    <t>Credentials</t>
  </si>
  <si>
    <t>Credential</t>
  </si>
  <si>
    <t>credentials</t>
  </si>
  <si>
    <t>QCredential</t>
  </si>
  <si>
    <t>CredentialIdentifier</t>
  </si>
  <si>
    <t>{aggregate:guid}/{version:int}</t>
  </si>
  <si>
    <t>QCredentialHistory</t>
  </si>
  <si>
    <t>AggregateIdentifier,AggregateVersion</t>
  </si>
  <si>
    <t>LearnerExperience</t>
  </si>
  <si>
    <t>learners-experiences</t>
  </si>
  <si>
    <t>ContactExperience</t>
  </si>
  <si>
    <t>QEnrollmentHistory</t>
  </si>
  <si>
    <t>GradebookEnrollment</t>
  </si>
  <si>
    <t>gradebooks-enrollments</t>
  </si>
  <si>
    <t>QEnrollment</t>
  </si>
  <si>
    <t>LearnerProgramSummary</t>
  </si>
  <si>
    <t>reports</t>
  </si>
  <si>
    <t>QLearnerProgramSummary</t>
  </si>
  <si>
    <t>SummaryIdentifier</t>
  </si>
  <si>
    <t>Gradebooks</t>
  </si>
  <si>
    <t>Gradebook</t>
  </si>
  <si>
    <t>gradebooks</t>
  </si>
  <si>
    <t>QGradebook</t>
  </si>
  <si>
    <t>GradebookIdentifier</t>
  </si>
  <si>
    <t>gradeitems</t>
  </si>
  <si>
    <t>QGradeItem</t>
  </si>
  <si>
    <t>GradeItemIdentifier</t>
  </si>
  <si>
    <t>gradeitems-competencies</t>
  </si>
  <si>
    <t>{gradebook:guid}/{gradeitem:guid}/{competency:guid}</t>
  </si>
  <si>
    <t>QGradeItemCompetency</t>
  </si>
  <si>
    <t>CompetencyIdentifier,GradebookIdentifier,GradeItemIdentifier</t>
  </si>
  <si>
    <t>Progression</t>
  </si>
  <si>
    <t>progressions</t>
  </si>
  <si>
    <t>QProgress</t>
  </si>
  <si>
    <t>ProgressIdentifier</t>
  </si>
  <si>
    <t>QProgressHistory</t>
  </si>
  <si>
    <t>progressions-validations</t>
  </si>
  <si>
    <t>ValidationIdentifier</t>
  </si>
  <si>
    <t>Rubrics</t>
  </si>
  <si>
    <t>Rubric</t>
  </si>
  <si>
    <t>rubrics</t>
  </si>
  <si>
    <t>RubricIdentifier</t>
  </si>
  <si>
    <t>RubricCriterion</t>
  </si>
  <si>
    <t>rubrics-criteria</t>
  </si>
  <si>
    <t>RubricRating</t>
  </si>
  <si>
    <t>rubrics-ratings</t>
  </si>
  <si>
    <t>Report</t>
  </si>
  <si>
    <t>Measurements</t>
  </si>
  <si>
    <t>Measurement</t>
  </si>
  <si>
    <t>measurements</t>
  </si>
  <si>
    <t>TMeasurement</t>
  </si>
  <si>
    <t>MeasurementIdentifier</t>
  </si>
  <si>
    <t>Reports</t>
  </si>
  <si>
    <t>TReport</t>
  </si>
  <si>
    <t>ReportIdentifier</t>
  </si>
  <si>
    <t>events</t>
  </si>
  <si>
    <t>QEvent</t>
  </si>
  <si>
    <t>EventIdentifier</t>
  </si>
  <si>
    <t>{event:guid}/{form:guid}</t>
  </si>
  <si>
    <t>QEventAssessmentForm</t>
  </si>
  <si>
    <t>EventIdentifier,FormIdentifier</t>
  </si>
  <si>
    <t>QSeat</t>
  </si>
  <si>
    <t>SeatIdentifier</t>
  </si>
  <si>
    <t>QEventTimer</t>
  </si>
  <si>
    <t>TriggerCommand</t>
  </si>
  <si>
    <t>{event:guid}/{user:guid}</t>
  </si>
  <si>
    <t>QEventAttendee</t>
  </si>
  <si>
    <t>EventIdentifier,UserIdentifier</t>
  </si>
  <si>
    <t>Periods</t>
  </si>
  <si>
    <t>Period</t>
  </si>
  <si>
    <t>periods</t>
  </si>
  <si>
    <t>QPeriod</t>
  </si>
  <si>
    <t>PeriodIdentifier</t>
  </si>
  <si>
    <t>Registrations</t>
  </si>
  <si>
    <t>Registration</t>
  </si>
  <si>
    <t>registrations</t>
  </si>
  <si>
    <t>QRegistration</t>
  </si>
  <si>
    <t>RegistrationIdentifier</t>
  </si>
  <si>
    <t>RegistrationAccommodation</t>
  </si>
  <si>
    <t>registrations-accommodations</t>
  </si>
  <si>
    <t>QAccommodation</t>
  </si>
  <si>
    <t>AccommodationIdentifier</t>
  </si>
  <si>
    <t>RegistrationInstructor</t>
  </si>
  <si>
    <t>registrations-instructors</t>
  </si>
  <si>
    <t>{registration:guid}/{instructor:guid}</t>
  </si>
  <si>
    <t>QRegistrationInstructor</t>
  </si>
  <si>
    <t>InstructorIdentifier,RegistrationIdentifier</t>
  </si>
  <si>
    <t>RegistrationTimer</t>
  </si>
  <si>
    <t>registrations-timers</t>
  </si>
  <si>
    <t>QRegistrationTimer</t>
  </si>
  <si>
    <t>Standard</t>
  </si>
  <si>
    <t>Documents</t>
  </si>
  <si>
    <t>Document</t>
  </si>
  <si>
    <t>documents</t>
  </si>
  <si>
    <t>standards</t>
  </si>
  <si>
    <t>QDocument</t>
  </si>
  <si>
    <t>DocumentIdentifier</t>
  </si>
  <si>
    <t>DocumentCompetency</t>
  </si>
  <si>
    <t>documents-competencies</t>
  </si>
  <si>
    <t>{document:guid}/{competency:guid}</t>
  </si>
  <si>
    <t>QDocumentCompetency</t>
  </si>
  <si>
    <t>CompetencyIdentifier,DocumentIdentifier</t>
  </si>
  <si>
    <t>DocumentConnection</t>
  </si>
  <si>
    <t>documents-connections</t>
  </si>
  <si>
    <t>{from:guid}/{to:guid}</t>
  </si>
  <si>
    <t>QRelatedDocument</t>
  </si>
  <si>
    <t>DocumentIdentifier,RelatedDocumentIdentifier</t>
  </si>
  <si>
    <t>Standards</t>
  </si>
  <si>
    <t>StandardCategory</t>
  </si>
  <si>
    <t>ProfileGroupCompetency</t>
  </si>
  <si>
    <t>profiles-groups-competencies</t>
  </si>
  <si>
    <t>{profile:guid}/{group:guid}/{competency:guid}</t>
  </si>
  <si>
    <t>DepartmentProfileCompetency</t>
  </si>
  <si>
    <t>CompetencyStandardIdentifier,DepartmentIdentifier,ProfileStandardIdentifier</t>
  </si>
  <si>
    <t>ProfileGroupLearner</t>
  </si>
  <si>
    <t>profiles-groups-learners</t>
  </si>
  <si>
    <t>{profile:guid}/{group:guid}/{learner:guid}</t>
  </si>
  <si>
    <t>DepartmentProfileUser</t>
  </si>
  <si>
    <t>DepartmentIdentifier,ProfileStandardIdentifier,UserIdentifier</t>
  </si>
  <si>
    <t>StandardIdentifier</t>
  </si>
  <si>
    <t>standards-categories</t>
  </si>
  <si>
    <t>CategoryIdentifier,StandardIdentifier</t>
  </si>
  <si>
    <t>StandardConnection</t>
  </si>
  <si>
    <t>standards-connections</t>
  </si>
  <si>
    <t>FromStandardIdentifier,ToStandardIdentifier</t>
  </si>
  <si>
    <t>StandardContainment</t>
  </si>
  <si>
    <t>standards-containments</t>
  </si>
  <si>
    <t>ChildStandardIdentifier,ParentStandardIdentifier</t>
  </si>
  <si>
    <t>StandardOrganization</t>
  </si>
  <si>
    <t>standards-organizations</t>
  </si>
  <si>
    <t>{competency:guid}/{organization:guid}</t>
  </si>
  <si>
    <t>Validations</t>
  </si>
  <si>
    <t>Validation</t>
  </si>
  <si>
    <t>validations</t>
  </si>
  <si>
    <t>Survey</t>
  </si>
  <si>
    <t>Responses</t>
  </si>
  <si>
    <t>Respondent</t>
  </si>
  <si>
    <t>respondents</t>
  </si>
  <si>
    <t>surveys</t>
  </si>
  <si>
    <t>QSurveyRespondent</t>
  </si>
  <si>
    <t>RespondentUserIdentifier,SurveyFormIdentifier</t>
  </si>
  <si>
    <t>Response</t>
  </si>
  <si>
    <t>responses</t>
  </si>
  <si>
    <t>QResponseSession</t>
  </si>
  <si>
    <t>ResponseSessionIdentifier</t>
  </si>
  <si>
    <t>ResponseAnswer</t>
  </si>
  <si>
    <t>responses-answers</t>
  </si>
  <si>
    <t>{response:guid}/{question:guid}</t>
  </si>
  <si>
    <t>QResponseAnswer</t>
  </si>
  <si>
    <t>ResponseSessionIdentifier,SurveyQuestionIdentifier</t>
  </si>
  <si>
    <t>ResponseOption</t>
  </si>
  <si>
    <t>responses-options</t>
  </si>
  <si>
    <t>{response:guid}/{option:guid}</t>
  </si>
  <si>
    <t>QResponseOption</t>
  </si>
  <si>
    <t>ResponseSessionIdentifier,SurveyOptionIdentifier</t>
  </si>
  <si>
    <t>Surveys</t>
  </si>
  <si>
    <t>QSurveyForm</t>
  </si>
  <si>
    <t>SurveyFormIdentifier</t>
  </si>
  <si>
    <t>SurveyCondition</t>
  </si>
  <si>
    <t>surveys-conditions</t>
  </si>
  <si>
    <t>{question:guid}/{option:guid}</t>
  </si>
  <si>
    <t>QSurveyCondition</t>
  </si>
  <si>
    <t>MaskedSurveyQuestionIdentifier,MaskingSurveyOptionItemIdentifier</t>
  </si>
  <si>
    <t>SurveyOptionItem</t>
  </si>
  <si>
    <t>surveys-options-items</t>
  </si>
  <si>
    <t>QSurveyOptionItem</t>
  </si>
  <si>
    <t>SurveyOptionItemIdentifier</t>
  </si>
  <si>
    <t>SurveyOptionList</t>
  </si>
  <si>
    <t>surveys-options-lists</t>
  </si>
  <si>
    <t>QSurveyOptionList</t>
  </si>
  <si>
    <t>SurveyOptionListIdentifier</t>
  </si>
  <si>
    <t>SurveyQuestion</t>
  </si>
  <si>
    <t>surveys-questions</t>
  </si>
  <si>
    <t>QSurveyQuestion</t>
  </si>
  <si>
    <t>SurveyQuestionIdentifier</t>
  </si>
  <si>
    <t>Workflow</t>
  </si>
  <si>
    <t>Cases</t>
  </si>
  <si>
    <t>Case</t>
  </si>
  <si>
    <t>cases</t>
  </si>
  <si>
    <t>issues</t>
  </si>
  <si>
    <t>QIssue</t>
  </si>
  <si>
    <t>IssueIdentifier</t>
  </si>
  <si>
    <t>CaseFile</t>
  </si>
  <si>
    <t>cases-files</t>
  </si>
  <si>
    <t>QIssueAttachment</t>
  </si>
  <si>
    <t>AttachmentIdentifier</t>
  </si>
  <si>
    <t>CaseFileRequirement</t>
  </si>
  <si>
    <t>cases-files-requirements</t>
  </si>
  <si>
    <t>QIssueFileRequirement</t>
  </si>
  <si>
    <t>IssueIdentifier,RequestedFileCategory</t>
  </si>
  <si>
    <t>CaseGroup</t>
  </si>
  <si>
    <t>cases-groups</t>
  </si>
  <si>
    <t>QIssueGroup</t>
  </si>
  <si>
    <t>CaseStatus</t>
  </si>
  <si>
    <t>cases-statuses</t>
  </si>
  <si>
    <t>TIssueStatus</t>
  </si>
  <si>
    <t>StatusIdentifier</t>
  </si>
  <si>
    <t>CaseUser</t>
  </si>
  <si>
    <t>cases-users</t>
  </si>
  <si>
    <t>QIssueUser</t>
  </si>
  <si>
    <t>Plugin</t>
  </si>
  <si>
    <t>CMDS</t>
  </si>
  <si>
    <t>CmdsInvoice</t>
  </si>
  <si>
    <t>custom_cmds</t>
  </si>
  <si>
    <t>QCmdsInvoice</t>
  </si>
  <si>
    <t>InvoiceKey</t>
  </si>
  <si>
    <t>CmdsInvoiceFee</t>
  </si>
  <si>
    <t>QCmdsInvoiceFee</t>
  </si>
  <si>
    <t>InvoiceFeeKey</t>
  </si>
  <si>
    <t>CmdsInvoiceItem</t>
  </si>
  <si>
    <t>QCmdsInvoiceItem</t>
  </si>
  <si>
    <t>InvoiceItemKey</t>
  </si>
  <si>
    <t>CollegeCertificate</t>
  </si>
  <si>
    <t>TCollegeCertificate</t>
  </si>
  <si>
    <t>CertificateIdentifier</t>
  </si>
  <si>
    <t>LearnerMeasurement</t>
  </si>
  <si>
    <t>learners-measurements</t>
  </si>
  <si>
    <t>TUserStatus</t>
  </si>
  <si>
    <t>LearnerSnapshot</t>
  </si>
  <si>
    <t>learners-snapshots</t>
  </si>
  <si>
    <t>ZUserStatus</t>
  </si>
  <si>
    <t>SnapshotKey</t>
  </si>
  <si>
    <t>LearnerSnapshotSummary</t>
  </si>
  <si>
    <t>learners-snapshots-summaries</t>
  </si>
  <si>
    <t>ZUserStatusSummary</t>
  </si>
  <si>
    <t>LearnerSummary</t>
  </si>
  <si>
    <t>learners-summaries</t>
  </si>
  <si>
    <t>QUserStatus</t>
  </si>
  <si>
    <t>UserStatusKey</t>
  </si>
  <si>
    <t>NCSHA</t>
  </si>
  <si>
    <t>custom_ncsha</t>
  </si>
  <si>
    <t>AbProgram</t>
  </si>
  <si>
    <t>AbProgramID</t>
  </si>
  <si>
    <t>Counter</t>
  </si>
  <si>
    <t>counters</t>
  </si>
  <si>
    <t>CounterIdentifier</t>
  </si>
  <si>
    <t>Field</t>
  </si>
  <si>
    <t>Code</t>
  </si>
  <si>
    <t>Filter</t>
  </si>
  <si>
    <t>FilterID</t>
  </si>
  <si>
    <t>ProgramFolder</t>
  </si>
  <si>
    <t>ProgramFolderID</t>
  </si>
  <si>
    <t>ProgramFolderComment</t>
  </si>
  <si>
    <t>HcProgram</t>
  </si>
  <si>
    <t>HcProgramID</t>
  </si>
  <si>
    <t>HiProgram</t>
  </si>
  <si>
    <t>HiProgramID</t>
  </si>
  <si>
    <t>logs</t>
  </si>
  <si>
    <t>History</t>
  </si>
  <si>
    <t>RecordID</t>
  </si>
  <si>
    <t>TReportMapping</t>
  </si>
  <si>
    <t>MappingIdentifier</t>
  </si>
  <si>
    <t>MfProgram</t>
  </si>
  <si>
    <t>MfProgramID</t>
  </si>
  <si>
    <t>MrProgram</t>
  </si>
  <si>
    <t>MrProgramID</t>
  </si>
  <si>
    <t>PaProgram</t>
  </si>
  <si>
    <t>PaProgramID</t>
  </si>
  <si>
    <t>SkilledTradesBC</t>
  </si>
  <si>
    <t>Distribution</t>
  </si>
  <si>
    <t>distributions</t>
  </si>
  <si>
    <t>custom_ita</t>
  </si>
  <si>
    <t>ExamDistributionRequest</t>
  </si>
  <si>
    <t>RequestIdentifier</t>
  </si>
  <si>
    <t>Individual</t>
  </si>
  <si>
    <t>individuals</t>
  </si>
  <si>
    <t>IndividualKey</t>
  </si>
  <si>
    <t>Integration</t>
  </si>
  <si>
    <t>ApiRequest</t>
  </si>
  <si>
    <t>Lti</t>
  </si>
  <si>
    <t>TLtiLink</t>
  </si>
  <si>
    <t>Scorm</t>
  </si>
  <si>
    <t>ScormRegistration</t>
  </si>
  <si>
    <t>TScormRegistration</t>
  </si>
  <si>
    <t>ScormRegistrationIdentifier</t>
  </si>
  <si>
    <t>TScormStatement</t>
  </si>
  <si>
    <t>StatementIdentifier</t>
  </si>
  <si>
    <t>Command</t>
  </si>
  <si>
    <t>commands</t>
  </si>
  <si>
    <t>CommandIdentifier</t>
  </si>
  <si>
    <t>Aggregate</t>
  </si>
  <si>
    <t>aggregates</t>
  </si>
  <si>
    <t>AggregateIdentifier</t>
  </si>
  <si>
    <t>Event</t>
  </si>
  <si>
    <t>Change</t>
  </si>
  <si>
    <t>Snapshot</t>
  </si>
  <si>
    <t>snapshots</t>
  </si>
  <si>
    <t>Metadata</t>
  </si>
  <si>
    <t>utilities</t>
  </si>
  <si>
    <t>TCollectionItem</t>
  </si>
  <si>
    <t>TCollection</t>
  </si>
  <si>
    <t>CollectionIdentifier</t>
  </si>
  <si>
    <t>settings</t>
  </si>
  <si>
    <t>TAction</t>
  </si>
  <si>
    <t>ActionIdentifier</t>
  </si>
  <si>
    <t>Sequence</t>
  </si>
  <si>
    <t>sequences</t>
  </si>
  <si>
    <t>{organization:guid}/{type}/{number:int}</t>
  </si>
  <si>
    <t>TSequence</t>
  </si>
  <si>
    <t>OrganizationIdentifier,SequenceNumber,SequenceType</t>
  </si>
  <si>
    <t>Upgrade</t>
  </si>
  <si>
    <t>upgrades</t>
  </si>
  <si>
    <t>UpgradeIdentifier</t>
  </si>
  <si>
    <t>Security</t>
  </si>
  <si>
    <t>Developer</t>
  </si>
  <si>
    <t>developers</t>
  </si>
  <si>
    <t>accounts</t>
  </si>
  <si>
    <t>TDeveloper</t>
  </si>
  <si>
    <t>TokenIdentifier</t>
  </si>
  <si>
    <t>Impersonation</t>
  </si>
  <si>
    <t>impersonations</t>
  </si>
  <si>
    <t>ImpersonationIdentifier</t>
  </si>
  <si>
    <t>Organization</t>
  </si>
  <si>
    <t>organizations</t>
  </si>
  <si>
    <t>QOrganization</t>
  </si>
  <si>
    <t>OrganizationIdentifier</t>
  </si>
  <si>
    <t>Permission</t>
  </si>
  <si>
    <t>permissions</t>
  </si>
  <si>
    <t>TGroupPermission</t>
  </si>
  <si>
    <t>PermissionIdentifier</t>
  </si>
  <si>
    <t>Sender</t>
  </si>
  <si>
    <t>senders</t>
  </si>
  <si>
    <t>TSender</t>
  </si>
  <si>
    <t>SenderIdentifier</t>
  </si>
  <si>
    <t>SenderOrganization</t>
  </si>
  <si>
    <t>senders-organizations</t>
  </si>
  <si>
    <t>TSenderOrganization</t>
  </si>
  <si>
    <t>User</t>
  </si>
  <si>
    <t>users</t>
  </si>
  <si>
    <t>QUser</t>
  </si>
  <si>
    <t>UserIdentifier</t>
  </si>
  <si>
    <t>UserConnection</t>
  </si>
  <si>
    <t>users-connections</t>
  </si>
  <si>
    <t>FromUserIdentifier,ToUserIdentifier</t>
  </si>
  <si>
    <t>UserMock</t>
  </si>
  <si>
    <t>users-mocks</t>
  </si>
  <si>
    <t>TUserMock</t>
  </si>
  <si>
    <t>MockIdentifier</t>
  </si>
  <si>
    <t>UserSession</t>
  </si>
  <si>
    <t>users-sessions</t>
  </si>
  <si>
    <t>identity</t>
  </si>
  <si>
    <t>TUserSession</t>
  </si>
  <si>
    <t>SessionIdentifier</t>
  </si>
  <si>
    <t>UserSessionCache</t>
  </si>
  <si>
    <t>users-sessions-caches</t>
  </si>
  <si>
    <t>TUserSessionCache</t>
  </si>
  <si>
    <t>CacheIdentifier</t>
  </si>
  <si>
    <t>TUserSetting</t>
  </si>
  <si>
    <t>UserToken</t>
  </si>
  <si>
    <t>users-tokens</t>
  </si>
  <si>
    <t>TUserAuthenticationFactor</t>
  </si>
  <si>
    <t>UserAuthenticationFactorIdentifier</t>
  </si>
  <si>
    <t>Utility</t>
  </si>
  <si>
    <t>Reporting</t>
  </si>
  <si>
    <t>{form:guid}</t>
  </si>
  <si>
    <t>{question:guid}</t>
  </si>
  <si>
    <t>{specification:guid}</t>
  </si>
  <si>
    <t>{item:guid}</t>
  </si>
  <si>
    <t>{address:guid}</t>
  </si>
  <si>
    <t>{setting:guid}</t>
  </si>
  <si>
    <t>{tag:guid}</t>
  </si>
  <si>
    <t>{deletion:guid}</t>
  </si>
  <si>
    <t>{secret:guid}</t>
  </si>
  <si>
    <t>{activity:guid}</t>
  </si>
  <si>
    <t>{claim:guid}</t>
  </si>
  <si>
    <t>{content:guid}</t>
  </si>
  <si>
    <t>{term:guid}</t>
  </si>
  <si>
    <t>{education:guid}</t>
  </si>
  <si>
    <t>{experience:guid}</t>
  </si>
  <si>
    <t>{file:guid}</t>
  </si>
  <si>
    <t>{proficiency:guid}</t>
  </si>
  <si>
    <t>{category:guid}</t>
  </si>
  <si>
    <t>{token:guid}</t>
  </si>
  <si>
    <t>{cache:guid}</t>
  </si>
  <si>
    <t>{session:guid}</t>
  </si>
  <si>
    <t>{comment:guid}</t>
  </si>
  <si>
    <t>{relationship:guid}</t>
  </si>
  <si>
    <t>{list:guid}</t>
  </si>
  <si>
    <t>{registration:guid}</t>
  </si>
  <si>
    <t>{report:guid}</t>
  </si>
  <si>
    <t>{mapping:guid}</t>
  </si>
  <si>
    <t>{log:guid}</t>
  </si>
  <si>
    <t>{summary:guid}</t>
  </si>
  <si>
    <t>{snapshot:guid}</t>
  </si>
  <si>
    <t>{measurement:guid}</t>
  </si>
  <si>
    <t>{certificate:guid}</t>
  </si>
  <si>
    <t>{fee:guid}</t>
  </si>
  <si>
    <t>{invoice:guid}</t>
  </si>
  <si>
    <t>{timer:guid}</t>
  </si>
  <si>
    <t>{accommodation:guid}</t>
  </si>
  <si>
    <t>{seat:guid}</t>
  </si>
  <si>
    <t>{rating:guid}</t>
  </si>
  <si>
    <t>{criterion:guid}</t>
  </si>
  <si>
    <t>{validation:guid}</t>
  </si>
  <si>
    <t>{enrollment:guid}</t>
  </si>
  <si>
    <t>{link:guid}</t>
  </si>
  <si>
    <t>{recipient:guid}</t>
  </si>
  <si>
    <t>{click:guid}</t>
  </si>
  <si>
    <t>{prerequisite:guid}</t>
  </si>
  <si>
    <t>{field:guid}</t>
  </si>
  <si>
    <t>Commands</t>
  </si>
  <si>
    <t>Events</t>
  </si>
  <si>
    <t>Lookups</t>
  </si>
  <si>
    <t>Sequences</t>
  </si>
  <si>
    <t>Developers</t>
  </si>
  <si>
    <t>Impersonations</t>
  </si>
  <si>
    <t>Organizations</t>
  </si>
  <si>
    <t>Permissions</t>
  </si>
  <si>
    <t>Senders</t>
  </si>
  <si>
    <t>Users</t>
  </si>
  <si>
    <t>cmds-invoices</t>
  </si>
  <si>
    <t>cmds-invoices-fees</t>
  </si>
  <si>
    <t>cmds-invoices-items</t>
  </si>
  <si>
    <t>scorm-registrations</t>
  </si>
  <si>
    <t>integration</t>
  </si>
  <si>
    <t>billing</t>
  </si>
  <si>
    <t>QGradebookCompetencyValidation</t>
  </si>
  <si>
    <t>QStandardCategory</t>
  </si>
  <si>
    <t>record</t>
  </si>
  <si>
    <t>QStandardGroup</t>
  </si>
  <si>
    <t>QUserConnection</t>
  </si>
  <si>
    <t>QStandardOrganization</t>
  </si>
  <si>
    <t>QStandardValidation</t>
  </si>
  <si>
    <t>QStandardValidationLog</t>
  </si>
  <si>
    <t>QStandardContainment</t>
  </si>
  <si>
    <t>QStandardConnection</t>
  </si>
  <si>
    <t>QStandard</t>
  </si>
  <si>
    <t>standard</t>
  </si>
  <si>
    <t>QStandardAchievement</t>
  </si>
  <si>
    <t>29E32DD0-1141-4684-BAC7-C31F4ECD295E</t>
  </si>
  <si>
    <t>QAttemptSection</t>
  </si>
  <si>
    <t>AttemptIdentifier,SectionIndex</t>
  </si>
  <si>
    <t>518978C6-696D-490E-93C8-6879893DB54D</t>
  </si>
  <si>
    <t>QAttemptSolution</t>
  </si>
  <si>
    <t>AttemptIdentifier,QuestionIdentifier,SolutionIdentifier</t>
  </si>
  <si>
    <t>DDAFFDE8-F181-4225-8570-4AD60142F11C</t>
  </si>
  <si>
    <t>TLearnerAttemptSummary</t>
  </si>
  <si>
    <t>74FC0CF3-2C18-4C57-8E59-4F35F35E8EC4</t>
  </si>
  <si>
    <t>TQuiz</t>
  </si>
  <si>
    <t>QuizIdentifier</t>
  </si>
  <si>
    <t>DA9D7CF1-B79E-426E-A49C-E8EA3679577F</t>
  </si>
  <si>
    <t>TQuizAttempt</t>
  </si>
  <si>
    <t>C87D99A6-9AD1-49A4-9FE6-92E2BD5280D6</t>
  </si>
  <si>
    <t>QBankOption</t>
  </si>
  <si>
    <t>73139FBB-4E58-4DC9-8CC1-BA6F1202CAAF</t>
  </si>
  <si>
    <t>QBankQuestionGradeItem</t>
  </si>
  <si>
    <t>6E587E5F-63DD-4358-97CF-F297E0D1A7AB</t>
  </si>
  <si>
    <t>TOrder</t>
  </si>
  <si>
    <t>OrderIdentifier</t>
  </si>
  <si>
    <t>8F3268DA-F59B-47F7-82CB-3C95376B244A</t>
  </si>
  <si>
    <t>QCarbonCopy</t>
  </si>
  <si>
    <t>CarbonCopyIdentifier</t>
  </si>
  <si>
    <t>D1366FDE-9928-4BF2-B4F2-ABDFAC5ACF50</t>
  </si>
  <si>
    <t>QMembershipReason</t>
  </si>
  <si>
    <t>ReasonIdentifier</t>
  </si>
  <si>
    <t>7DE36416-5F9E-4491-A59F-5A47AB07600F</t>
  </si>
  <si>
    <t>QPersonAddress</t>
  </si>
  <si>
    <t>B72114B0-213E-452D-8BAF-81213D597528</t>
  </si>
  <si>
    <t>TMoodleEvent</t>
  </si>
  <si>
    <t>A3D2589F-6738-40B8-BB47-B04F2FB75054</t>
  </si>
  <si>
    <t>TScormEvent</t>
  </si>
  <si>
    <t>A98717D5-C565-4FBE-A255-6BC56D3E2115</t>
  </si>
  <si>
    <t>TScormRegistrationActivity</t>
  </si>
  <si>
    <t>learning</t>
  </si>
  <si>
    <t>0959DCF3-867F-411B-98C0-145C2776BC30</t>
  </si>
  <si>
    <t>TCatalog</t>
  </si>
  <si>
    <t>CatalogIdentifier</t>
  </si>
  <si>
    <t>95EDF521-A388-4BB9-8D61-AFE3F34599EE</t>
  </si>
  <si>
    <t>TCourseCategory</t>
  </si>
  <si>
    <t>CourseIdentifier,ItemIdentifier</t>
  </si>
  <si>
    <t>A801377F-45C3-4183-95D4-9B09D3958B83</t>
  </si>
  <si>
    <t>QGradebookEvent</t>
  </si>
  <si>
    <t>1BA7F009-4B30-4212-A2AD-BD567AD0FF2E</t>
  </si>
  <si>
    <t>QJournalSetupGroup</t>
  </si>
  <si>
    <t>BD5A337D-9E0A-43AB-A29C-6E98CF2EC838</t>
  </si>
  <si>
    <t>QStandardTier</t>
  </si>
  <si>
    <t>ItemStandardIdentifier</t>
  </si>
  <si>
    <t>Orders</t>
  </si>
  <si>
    <t>Moodle</t>
  </si>
  <si>
    <t>Catalogs</t>
  </si>
  <si>
    <t>Regulations</t>
  </si>
  <si>
    <t>Tiers</t>
  </si>
  <si>
    <t>RegulationGroup</t>
  </si>
  <si>
    <t>standards-tiers</t>
  </si>
  <si>
    <t>regulations-groups</t>
  </si>
  <si>
    <t>{regulation:guid}/{group:guid}</t>
  </si>
  <si>
    <t>{tier:guid}</t>
  </si>
  <si>
    <t>{course:guid}/{category:guid}</t>
  </si>
  <si>
    <t>courses-categories</t>
  </si>
  <si>
    <t>catalogs</t>
  </si>
  <si>
    <t>{catalog:guid}</t>
  </si>
  <si>
    <t>quizzes</t>
  </si>
  <si>
    <t>{quiz:guid}</t>
  </si>
  <si>
    <t>orders</t>
  </si>
  <si>
    <t>{order:guid}</t>
  </si>
  <si>
    <t>{cc:guid}</t>
  </si>
  <si>
    <t>scorm-registrations-activities</t>
  </si>
  <si>
    <t>{event:guid}</t>
  </si>
  <si>
    <t>{reason:guid}</t>
  </si>
  <si>
    <t>memberships-reasons</t>
  </si>
  <si>
    <t>{attempt:guid}/{section:int}</t>
  </si>
  <si>
    <t>attempts-sections</t>
  </si>
  <si>
    <t>attempts-solutions</t>
  </si>
  <si>
    <t>{attempt:guid}/{question:guid}/{solution:guid}</t>
  </si>
  <si>
    <t>LearnerFormAttempt</t>
  </si>
  <si>
    <t>{learner:guid}/{form:guid}</t>
  </si>
  <si>
    <t>quizzes-attempts</t>
  </si>
  <si>
    <t>{attempt:guid}</t>
  </si>
  <si>
    <t>banks-options</t>
  </si>
  <si>
    <t>{bank:guid}/{option:int}</t>
  </si>
  <si>
    <t>banks-forms-questions-gradeitems</t>
  </si>
  <si>
    <t>{form:guid}/{question:guid}</t>
  </si>
  <si>
    <t>FormIdentifier,QuestionIdentifier</t>
  </si>
  <si>
    <t>FormIdentifier,LearnerUserIdentifier</t>
  </si>
  <si>
    <t>OptionKey,QuestionIdentifier</t>
  </si>
  <si>
    <t>AchievementIdentifier,ItemIdentifier</t>
  </si>
  <si>
    <t>EventIdentifier,GradebookIdentifier</t>
  </si>
  <si>
    <t>GroupIdentifier,JournalSetupIdentifier</t>
  </si>
  <si>
    <t>GroupIdentifier,StandardIdentifier</t>
  </si>
  <si>
    <t>ConnectedOrganizationIdentifier,StandardIdentifier</t>
  </si>
  <si>
    <t>StandardValidationIdentifier</t>
  </si>
  <si>
    <t>LogIdentifier</t>
  </si>
  <si>
    <t>StandardGroup</t>
  </si>
  <si>
    <t>{organization:guid}</t>
  </si>
  <si>
    <t>236BEA94-F94F-43C3-8283-4D6B705CDFEE</t>
  </si>
  <si>
    <t>{achievement:guid}</t>
  </si>
  <si>
    <t>69AAC37F-4A18-4E70-B6A2-8AA741EE6D6A</t>
  </si>
  <si>
    <t>{credential:guid}</t>
  </si>
  <si>
    <t>30C922DB-8C85-42C1-9E51-99A89B3B7762</t>
  </si>
  <si>
    <t>4AAC1ECE-319A-47E0-AB27-AA5E84BA28B1</t>
  </si>
  <si>
    <t>83697577-7A68-42E7-B993-E309B20D9DB5</t>
  </si>
  <si>
    <t>A8A3F248-222D-4548-BD97-4B47C353F036</t>
  </si>
  <si>
    <t>9C0B8E34-BF6F-4FDA-9C91-09A599ECFDE3</t>
  </si>
  <si>
    <t>E79A7F05-33B8-43EB-A34C-E2B46EDEDDD2</t>
  </si>
  <si>
    <t>E3BD88F2-0051-4A23-A264-99611DB4513D</t>
  </si>
  <si>
    <t>D949AF0A-6DF3-4770-AADE-0103A451FFAB</t>
  </si>
  <si>
    <t>QGlossaryContent</t>
  </si>
  <si>
    <t>8E60CA58-226B-4EC2-864C-0A3D26DFB8A7</t>
  </si>
  <si>
    <t>{bank:guid}</t>
  </si>
  <si>
    <t>79BEC9D6-0A85-4822-83AC-194E3F926501</t>
  </si>
  <si>
    <t>534E46BB-2B27-4894-BDA8-E5EADDBED92F</t>
  </si>
  <si>
    <t>61D98D6B-192B-46DA-B9F8-638C89C5856F</t>
  </si>
  <si>
    <t>CC77783A-14FC-4925-B896-D07E4FC5925C</t>
  </si>
  <si>
    <t>QBankQuestionCompetency</t>
  </si>
  <si>
    <t>5E18FC88-8E9F-4B0F-9FF3-357458365B1D</t>
  </si>
  <si>
    <t>CEEE3CE0-A0BB-4226-B81D-5CB8511FC6DB</t>
  </si>
  <si>
    <t>{mailout:guid}</t>
  </si>
  <si>
    <t>40D4FB02-76D4-4B63-8602-AAE97543C6C1</t>
  </si>
  <si>
    <t>QMailoutRecipient</t>
  </si>
  <si>
    <t>67BB93E2-F066-4D52-A9CD-30A42581D2C9</t>
  </si>
  <si>
    <t>{group:guid}</t>
  </si>
  <si>
    <t>7C072437-CF64-4130-8991-BE764395A13C</t>
  </si>
  <si>
    <t>2ABA0EC0-13AE-4DF8-B9A8-E4F6470D6FD1</t>
  </si>
  <si>
    <t>20C43668-7CE2-42B7-95F7-3AA57C044462</t>
  </si>
  <si>
    <t>0E8A5562-6652-48FF-A8B2-0FB75D0FB86A</t>
  </si>
  <si>
    <t>{membership:guid}</t>
  </si>
  <si>
    <t>8F7890B2-FFA7-45BB-B876-08D5A66FECAB</t>
  </si>
  <si>
    <t>1984CB15-B311-4333-9AF3-43720E546231</t>
  </si>
  <si>
    <t>{person:guid}</t>
  </si>
  <si>
    <t>24C0B998-AEC2-4207-A489-4989CAABBB1E</t>
  </si>
  <si>
    <t>0701EB13-63EE-4599-BF51-107C634981C1</t>
  </si>
  <si>
    <t>79E16D5C-5BA2-426B-B473-4FF755A5F36F</t>
  </si>
  <si>
    <t>94F3F705-721C-4F81-8155-868D34E62C79</t>
  </si>
  <si>
    <t>QLearnerSummary</t>
  </si>
  <si>
    <t>42DC0289-03C4-4637-A643-C7FA69B988FB</t>
  </si>
  <si>
    <t>55EC0B1A-EF09-46A3-AE14-835BBDBDBD36</t>
  </si>
  <si>
    <t>2A68C6FE-AEBC-4052-8830-089DBA1E9050</t>
  </si>
  <si>
    <t>31647B60-101E-4A56-8605-796739FDE98B</t>
  </si>
  <si>
    <t>DEE4217C-8AB7-44F8-B49E-DA599DDC73E5</t>
  </si>
  <si>
    <t>4B0A9FE0-40E3-422F-8DEA-4C4B3E9351C7</t>
  </si>
  <si>
    <t>{user:guid}</t>
  </si>
  <si>
    <t>4AE03707-E10B-4692-8603-1C59ACF96C8F</t>
  </si>
  <si>
    <t>607A39E8-9C7F-44E0-92D3-C7DE0A8B62E5</t>
  </si>
  <si>
    <t>86A811F8-D073-4AC6-BF7E-16A75BE2DA6B</t>
  </si>
  <si>
    <t>QCase</t>
  </si>
  <si>
    <t>{case:guid}</t>
  </si>
  <si>
    <t>5582D250-AA5D-479A-8E13-DDF1A5BE0E82</t>
  </si>
  <si>
    <t>QCaseFile</t>
  </si>
  <si>
    <t>BACE478F-BF1F-4647-82FB-CD236E72CE7E</t>
  </si>
  <si>
    <t>QCaseFileRequirement</t>
  </si>
  <si>
    <t>F8850515-0755-4E37-9834-88C7F55E7F89</t>
  </si>
  <si>
    <t>QCaseGroup</t>
  </si>
  <si>
    <t>C8F05B62-B286-47A4-8183-2F1325F728B1</t>
  </si>
  <si>
    <t>QCaseUser</t>
  </si>
  <si>
    <t>7125E03D-0927-4BB6-81ED-61C4EEB10428</t>
  </si>
  <si>
    <t>QMailoutClick</t>
  </si>
  <si>
    <t>CB16858F-2725-491F-9D8B-B39427BDAC6E</t>
  </si>
  <si>
    <t>QSubscriberFollower</t>
  </si>
  <si>
    <t>A55665D2-11C9-4D39-9C76-EE9D2FBA6BFD</t>
  </si>
  <si>
    <t>QMessageLink</t>
  </si>
  <si>
    <t>28F3A514-8EC3-4897-9905-FAE18E6ABA8F</t>
  </si>
  <si>
    <t>{message:guid}</t>
  </si>
  <si>
    <t>A77AE75F-EC65-4504-B623-BA26D9AB594B</t>
  </si>
  <si>
    <t>E0B2C092-1C3D-4921-AEFB-2CCFF832CFD5</t>
  </si>
  <si>
    <t>850F0FCE-8E3D-42F8-AB26-30B2C80EEE15</t>
  </si>
  <si>
    <t>{payment:guid}</t>
  </si>
  <si>
    <t>D08D6E95-4D53-42FF-9A57-52FAA525D9E9</t>
  </si>
  <si>
    <t>112DA002-78E7-475F-9253-7DDC06F22F4C</t>
  </si>
  <si>
    <t>QRegulationCompetency</t>
  </si>
  <si>
    <t>12176F46-0CF4-43D8-8309-A239A9F1A669</t>
  </si>
  <si>
    <t>6365823E-4FD2-45BA-A95C-8327FB170722</t>
  </si>
  <si>
    <t>QGradebookEnrollment</t>
  </si>
  <si>
    <t>726F1076-3D56-426D-A572-68FC8CCF6741</t>
  </si>
  <si>
    <t>E2FAA3CF-8077-488F-B479-C2287CC2E1ED</t>
  </si>
  <si>
    <t>QLogbookExperience</t>
  </si>
  <si>
    <t>466AA06C-679E-42E3-82BD-18B93189A2D3</t>
  </si>
  <si>
    <t>QLogbookCompetency</t>
  </si>
  <si>
    <t>1AEBC6F7-3FDC-47F9-A4E5-69B6B2A07BD6</t>
  </si>
  <si>
    <t>{gradebook:guid}</t>
  </si>
  <si>
    <t>4735608B-AC3B-4027-9E8A-EE8C49EA705D</t>
  </si>
  <si>
    <t>07ABDB92-8930-484F-B054-7887E38012D5</t>
  </si>
  <si>
    <t>{gradeitem:guid}</t>
  </si>
  <si>
    <t>93343478-E9E6-43F5-AEEF-6F30EC1C4623</t>
  </si>
  <si>
    <t>2EB7F949-0803-462B-96F2-BD23A7B1FA10</t>
  </si>
  <si>
    <t>QLogbook</t>
  </si>
  <si>
    <t>{logbook:guid}</t>
  </si>
  <si>
    <t>A1D61C4F-32C9-4F93-BC04-5D48126F4649</t>
  </si>
  <si>
    <t>QRegulation</t>
  </si>
  <si>
    <t>{regulation:guid}</t>
  </si>
  <si>
    <t>70250095-A228-4825-BFCB-4FFBECC1B291</t>
  </si>
  <si>
    <t>QRegulationField</t>
  </si>
  <si>
    <t>14490404-2F12-4704-B736-EE791F5C38D5</t>
  </si>
  <si>
    <t>QRegulationUser</t>
  </si>
  <si>
    <t>EA84CC56-76B2-4931-8618-5C90FD929794</t>
  </si>
  <si>
    <t>{period:guid}</t>
  </si>
  <si>
    <t>698CCDF4-2774-46C2-BFF2-E91BE3A81ABC</t>
  </si>
  <si>
    <t>QProgression</t>
  </si>
  <si>
    <t>{progression:guid}</t>
  </si>
  <si>
    <t>D5E8AA0E-4C83-4379-B6F9-EA292EE77DA5</t>
  </si>
  <si>
    <t>5F10619C-79FB-492E-BA70-C3DFE31319F8</t>
  </si>
  <si>
    <t>QRegistrationAccommodation</t>
  </si>
  <si>
    <t>8C447F04-2B0A-49AE-ADE0-232E9DD80727</t>
  </si>
  <si>
    <t>589169F5-D9AC-4A1F-9188-B107070675BD</t>
  </si>
  <si>
    <t>5D1125CB-DD9A-40FA-A879-3F0E4159A23A</t>
  </si>
  <si>
    <t>D402B86B-6473-43A4-AF55-7158F34DACE1</t>
  </si>
  <si>
    <t>1E7399AF-74FD-46AB-B0A8-63A8C7ED8DF2</t>
  </si>
  <si>
    <t>{page:guid}</t>
  </si>
  <si>
    <t>C5CA85C7-63A0-4D65-81FC-971B313D32B0</t>
  </si>
  <si>
    <t>{site:guid}</t>
  </si>
  <si>
    <t>411228DA-D758-43BE-B95B-5189305613C9</t>
  </si>
  <si>
    <t>{document:guid}</t>
  </si>
  <si>
    <t>4D320164-D7BD-41A2-B988-61EFFE4B172D</t>
  </si>
  <si>
    <t>CC998E9B-081C-463D-B1A1-A8292AA1474D</t>
  </si>
  <si>
    <t>QDocumentConnection</t>
  </si>
  <si>
    <t>F3FC3EBB-2090-4E99-91C5-A18EA79E88D1</t>
  </si>
  <si>
    <t>B344C563-2C34-497B-97A1-0E3B6195C83A</t>
  </si>
  <si>
    <t>72BE88E2-D89B-4C80-A138-32B4288ED046</t>
  </si>
  <si>
    <t>QResponse</t>
  </si>
  <si>
    <t>{response:guid}</t>
  </si>
  <si>
    <t>BE7B6482-68EC-4FAE-B3A0-780D45AF4BBF</t>
  </si>
  <si>
    <t>AC4952C0-9097-4287-A871-F63BE5F0BE80</t>
  </si>
  <si>
    <t>QSurvey</t>
  </si>
  <si>
    <t>{survey:guid}</t>
  </si>
  <si>
    <t>B3C5ADEC-6109-480B-A405-25D74C8ED1CC</t>
  </si>
  <si>
    <t>CA81FA69-7E5F-4CA7-B161-F682084F5E2B</t>
  </si>
  <si>
    <t>91130BAF-E0E6-4A3E-96B0-586485120576</t>
  </si>
  <si>
    <t>0409A253-41E3-43E6-A144-ECE99CB2FEFC</t>
  </si>
  <si>
    <t>QRespondent</t>
  </si>
  <si>
    <t>{respondent:guid}</t>
  </si>
  <si>
    <t>0DC21EC5-E3B0-4204-B9B1-21E4ADFA5F31</t>
  </si>
  <si>
    <t>{developer:guid}</t>
  </si>
  <si>
    <t>2D8D09A8-3DF9-4F86-9D56-B92EB93A2A3D</t>
  </si>
  <si>
    <t>{sender:guid}</t>
  </si>
  <si>
    <t>A99AA2AC-F036-4C19-B1C9-616E73FDB5D8</t>
  </si>
  <si>
    <t>6A1F916E-4EDA-4BA2-8C90-E1A418076F2F</t>
  </si>
  <si>
    <t>TUserToken</t>
  </si>
  <si>
    <t>2EA9AA38-F232-4DB7-91A0-D5EC247CB8C1</t>
  </si>
  <si>
    <t>9CE08C55-3A39-4AFE-AC27-684E772350F9</t>
  </si>
  <si>
    <t>A7F1EB01-D300-479D-9B05-294146C7A134</t>
  </si>
  <si>
    <t>B6A24BDB-CE7A-43E4-9B66-6E0D486E11A6</t>
  </si>
  <si>
    <t>TAchievementGroup</t>
  </si>
  <si>
    <t>07A9A864-379A-4E62-B5C2-51060C2EA30F</t>
  </si>
  <si>
    <t>6ADBDB62-E5E4-4BB3-93F9-AB35BB80158A</t>
  </si>
  <si>
    <t>AttemptSection</t>
  </si>
  <si>
    <t>AttemptSolution</t>
  </si>
  <si>
    <t>TLearnerFormAttempt</t>
  </si>
  <si>
    <t>Quiz</t>
  </si>
  <si>
    <t>QuizAttempt</t>
  </si>
  <si>
    <t>4A5DC67E-418E-4002-87C4-0D2B6B1821B4</t>
  </si>
  <si>
    <t>3585DBB5-40CE-458F-A397-4841A2DBACE3</t>
  </si>
  <si>
    <t>9B26206E-E2E3-41D7-BC05-F8C1918C0BFB</t>
  </si>
  <si>
    <t>BankOption</t>
  </si>
  <si>
    <t>Order</t>
  </si>
  <si>
    <t>{product:guid}</t>
  </si>
  <si>
    <t>09D2AA95-3014-4252-9F8E-A8C95C13561F</t>
  </si>
  <si>
    <t>TLearnerExperience</t>
  </si>
  <si>
    <t>5C955B84-03C6-4192-9A33-A8D0CC2E6B78</t>
  </si>
  <si>
    <t>MembershipReason</t>
  </si>
  <si>
    <t>PersonAddress</t>
  </si>
  <si>
    <t>TPermission</t>
  </si>
  <si>
    <t>{permission:guid}</t>
  </si>
  <si>
    <t>302D945C-61CC-40F0-BED7-B411D025FBFD</t>
  </si>
  <si>
    <t>840D4698-8284-4144-AC3D-94C86B01DE29</t>
  </si>
  <si>
    <t>CF17CD60-FA3E-442F-81BA-7BFB37F028A2</t>
  </si>
  <si>
    <t>665050DC-1B6A-4204-8C5F-D511EF629B79</t>
  </si>
  <si>
    <t>8B516A91-924E-4489-BAE5-2CD2930136A4</t>
  </si>
  <si>
    <t>C65F8B67-4D96-4564-A4B0-AE103370371F</t>
  </si>
  <si>
    <t>05A63B0E-1674-4BE3-9090-6AA8C6666F19</t>
  </si>
  <si>
    <t>{course:guid}</t>
  </si>
  <si>
    <t>8B1DA0C6-BEC0-4959-8849-E5C4494CCC53</t>
  </si>
  <si>
    <t>0370EDEB-4313-46FE-B1FD-6C98EFC0324A</t>
  </si>
  <si>
    <t>1DBF8FD4-0F85-4972-8FFA-E0F202FA03CD</t>
  </si>
  <si>
    <t>{module:guid}</t>
  </si>
  <si>
    <t>65260033-CE62-4C8B-9596-7736D06929AC</t>
  </si>
  <si>
    <t>{unit:guid}</t>
  </si>
  <si>
    <t>636300A8-DAC2-4644-88C1-4FEC223496D5</t>
  </si>
  <si>
    <t>D88D357F-FED6-4082-8B1F-EB2E2AF7F724</t>
  </si>
  <si>
    <t>TLearnerMeasurement</t>
  </si>
  <si>
    <t>E1186507-9A8A-4B5F-9A4F-017C42B0971C</t>
  </si>
  <si>
    <t>TLearnerSnapshot</t>
  </si>
  <si>
    <t>3FCE5F96-F1F2-4528-B1EF-2A184E5073CF</t>
  </si>
  <si>
    <t>TLearnerSnapshotSummary</t>
  </si>
  <si>
    <t>08015354-A5DC-45D1-A9F0-B445457EFAA8</t>
  </si>
  <si>
    <t>TDistribution</t>
  </si>
  <si>
    <t>{distribution:guid}</t>
  </si>
  <si>
    <t>F77D8A83-C1B5-4730-8252-A58FFC6100DC</t>
  </si>
  <si>
    <t>TIndividual</t>
  </si>
  <si>
    <t>{individual:guid}</t>
  </si>
  <si>
    <t>38892879-21A5-4815-ADAE-781499135C94</t>
  </si>
  <si>
    <t>1DAC5E0B-177A-4109-8B70-C411AE57AC2A</t>
  </si>
  <si>
    <t>{counter:guid}</t>
  </si>
  <si>
    <t>5D3443B8-6200-426F-9D12-B5BC4F0757F1</t>
  </si>
  <si>
    <t>4E274996-AE6D-44BE-81D8-ADFDAEB67118</t>
  </si>
  <si>
    <t>{filter:guid}</t>
  </si>
  <si>
    <t>EAF39E27-F397-4B95-98E0-7C53CFB486CE</t>
  </si>
  <si>
    <t>EEB36FA7-BF72-46A7-BFD9-1D56BF3849F0</t>
  </si>
  <si>
    <t>4E2D643A-8354-4615-BBBE-7390A548E001</t>
  </si>
  <si>
    <t>BC02779B-8F2D-4938-A398-5B46ECAB3F19</t>
  </si>
  <si>
    <t>E87BDA4C-BA87-431D-8D83-BCC168DB20C0</t>
  </si>
  <si>
    <t>71E3A888-33E5-4BD2-AD38-EFF5F30B632A</t>
  </si>
  <si>
    <t>9EDAB82D-1B12-4F75-AE3D-3B66D8F1C13A</t>
  </si>
  <si>
    <t>{folder:guid}</t>
  </si>
  <si>
    <t>4A0B8BBE-B1DC-4030-BEFC-EBAD582C54BE</t>
  </si>
  <si>
    <t>CA2993B2-9B03-4CEC-A442-92490A14CF3F</t>
  </si>
  <si>
    <t>F0A69C4F-C1CB-42C1-8234-6406FC60C112</t>
  </si>
  <si>
    <t>TImpersonation</t>
  </si>
  <si>
    <t>{impersonation:guid}</t>
  </si>
  <si>
    <t>A5CC652B-9C39-41FB-B161-C5D1014CA028</t>
  </si>
  <si>
    <t>4EFB3542-30D5-492C-B200-FA236668C008</t>
  </si>
  <si>
    <t>E7055815-385A-4F23-86D0-71B6C350A393</t>
  </si>
  <si>
    <t>6B6C2CC3-86D6-4EE3-9BF3-11B0EDD76D75</t>
  </si>
  <si>
    <t>ScormRegistrationActivity</t>
  </si>
  <si>
    <t>{statement:guid}</t>
  </si>
  <si>
    <t>F2CACD87-FEC9-4AA3-ABE5-AB43982439BB</t>
  </si>
  <si>
    <t>TCaseStatus</t>
  </si>
  <si>
    <t>863B524E-86A5-42EE-83F5-0D3C4779F203</t>
  </si>
  <si>
    <t>{application:guid}</t>
  </si>
  <si>
    <t>CA19FCDB-ECF5-4790-A864-8971C176746A</t>
  </si>
  <si>
    <t>D2F9D359-0171-4DF9-ACF0-0E7C40C6B9AE</t>
  </si>
  <si>
    <t>CFDCFE2C-F37C-4B39-8E4E-1065AECB6E3C</t>
  </si>
  <si>
    <t>8C046922-DC58-4AA9-92B6-F4748D570B33</t>
  </si>
  <si>
    <t>5E903AFC-F76E-4C21-A640-B3F5A4198CE7</t>
  </si>
  <si>
    <t>TCandidateFile</t>
  </si>
  <si>
    <t>D87C6E40-6D57-4461-99FE-1016F986374A</t>
  </si>
  <si>
    <t>{opportunity:guid}</t>
  </si>
  <si>
    <t>41557A9A-1483-4855-BCE6-AAEC962A04CB</t>
  </si>
  <si>
    <t>82812662-896D-4FAD-93B4-5BA5621BDC08</t>
  </si>
  <si>
    <t>Catalog</t>
  </si>
  <si>
    <t>CourseCategory</t>
  </si>
  <si>
    <t>TAggregate</t>
  </si>
  <si>
    <t>{aggregate:guid}</t>
  </si>
  <si>
    <t>59A58718-1DDD-45EB-91E2-B5708590B47D</t>
  </si>
  <si>
    <t>E51E6910-7D1B-42AD-A496-599B3E01D737</t>
  </si>
  <si>
    <t>TCommand</t>
  </si>
  <si>
    <t>{command:guid}</t>
  </si>
  <si>
    <t>2A117058-0BFB-4F20-A623-D20F9B8F8EA1</t>
  </si>
  <si>
    <t>TSnapshot</t>
  </si>
  <si>
    <t>C8C7C7BD-AA32-4AF6-85AA-671A81FA1D85</t>
  </si>
  <si>
    <t>{discount:guid}</t>
  </si>
  <si>
    <t>6C65249C-AFF1-4581-98E9-6CC0149A8814</t>
  </si>
  <si>
    <t>4F2FCB04-D506-49EB-87B9-2B0E011EDF7C</t>
  </si>
  <si>
    <t>QRegulationGroup</t>
  </si>
  <si>
    <t>TCertificate</t>
  </si>
  <si>
    <t>547D321A-78A9-43E7-99B3-ACD2763FBA12</t>
  </si>
  <si>
    <t>9CFD07C4-FA15-4164-891C-EF48C6703E31</t>
  </si>
  <si>
    <t>{program:guid}</t>
  </si>
  <si>
    <t>D656C3FC-723D-4819-8236-6E6689E29079</t>
  </si>
  <si>
    <t>B73B6B68-C0FC-4CCF-89D8-BA3E4AFAC532</t>
  </si>
  <si>
    <t>{rubric:guid}</t>
  </si>
  <si>
    <t>01678831-E1D0-48CF-BEF7-E231FF97AF63</t>
  </si>
  <si>
    <t>1FB81177-94B4-4424-B770-B963C4026106</t>
  </si>
  <si>
    <t>F6CC8E4E-2A55-42C9-8049-8A9FDFDE7259</t>
  </si>
  <si>
    <t>{task:guid}</t>
  </si>
  <si>
    <t>CC1C4060-943A-4090-9D9E-0689192C9B69</t>
  </si>
  <si>
    <t>9802E715-57B1-43A3-8E9B-C7DE6671E065</t>
  </si>
  <si>
    <t>627B1F53-CCA1-4AB5-9B26-45E30EC14AAE</t>
  </si>
  <si>
    <t>C27B4DFD-578B-4FEA-B044-498579036F90</t>
  </si>
  <si>
    <t>210C6A6B-8A28-4A33-9616-944A20ED2F3A</t>
  </si>
  <si>
    <t>TUpload</t>
  </si>
  <si>
    <t>{upload:guid}</t>
  </si>
  <si>
    <t>62E5A1F9-E272-43FB-AAC7-03218389CA28</t>
  </si>
  <si>
    <t>TUploadObject</t>
  </si>
  <si>
    <t>0254AF4C-70F3-4F38-8AEE-668C93D932ED</t>
  </si>
  <si>
    <t>130AEAD9-BD7D-49A0-A894-B9C3CCDD0AA5</t>
  </si>
  <si>
    <t>1C024CA6-A584-4DC5-883C-BDFC47C541AF</t>
  </si>
  <si>
    <t>{standard:guid}</t>
  </si>
  <si>
    <t>E547C790-B688-47D3-B965-E37A7382E9BC</t>
  </si>
  <si>
    <t>B044AEB9-9D29-446B-804A-74CC1E8FDCB5</t>
  </si>
  <si>
    <t>DBF823E7-A4A0-4D25-8B1D-7B3DBDAD8465</t>
  </si>
  <si>
    <t>CB88B90C-78F2-4E49-BF06-1D6EC33ED83D</t>
  </si>
  <si>
    <t>E9A4CFEC-ABD6-4192-BD3B-3C3C91A881BB</t>
  </si>
  <si>
    <t>2A0FEFC0-A810-4BA4-A472-EF5BDBE72DA2</t>
  </si>
  <si>
    <t>A6332F0E-91DB-4598-A330-9DB9FB7F107F</t>
  </si>
  <si>
    <t>StandardTier</t>
  </si>
  <si>
    <t>QValidation</t>
  </si>
  <si>
    <t>ED314581-30A1-4575-BCEB-283D8DE8AF20</t>
  </si>
  <si>
    <t>6B5D3FAF-7CFE-46E1-896D-EB9EA4698230</t>
  </si>
  <si>
    <t>TProfileGroupCompetency</t>
  </si>
  <si>
    <t>E050D143-6DBB-41A7-845E-81E1A8370CBF</t>
  </si>
  <si>
    <t>TProfileGroupLearner</t>
  </si>
  <si>
    <t>F3F49E5D-7D13-497A-A3B1-491E247923F4</t>
  </si>
  <si>
    <t>87645F5E-D0AF-46D7-B778-2AE66A63AE62</t>
  </si>
  <si>
    <t>11698F0E-6BC7-4450-9F14-3511E6A9CE2A</t>
  </si>
  <si>
    <t>TUpgrade</t>
  </si>
  <si>
    <t>{upgrade:guid}</t>
  </si>
  <si>
    <t>BA123DB1-AC84-42E2-874F-9835D9AC1CC9</t>
  </si>
  <si>
    <t>StorageSchema</t>
  </si>
  <si>
    <t>StorageTable</t>
  </si>
  <si>
    <t>StorageTableRename</t>
  </si>
  <si>
    <t>StorageKey</t>
  </si>
  <si>
    <t>ComponentType</t>
  </si>
  <si>
    <t>ComponentName</t>
  </si>
  <si>
    <t>EntityName</t>
  </si>
  <si>
    <t>CollectionSlug</t>
  </si>
  <si>
    <t>CollectionKey</t>
  </si>
  <si>
    <t>EntityId</t>
  </si>
  <si>
    <t>StorageStructure</t>
  </si>
  <si>
    <t>QActivity</t>
  </si>
  <si>
    <t>QActivityCompetency</t>
  </si>
  <si>
    <t>QCourse</t>
  </si>
  <si>
    <t>QCourseEnrollment</t>
  </si>
  <si>
    <t>QModule</t>
  </si>
  <si>
    <t>QUnit</t>
  </si>
  <si>
    <t>QCoursePrerequisite</t>
  </si>
  <si>
    <t>CoursePrerequisiteIdentifier</t>
  </si>
  <si>
    <t>9AF90214-348C-42FC-8B82-9975A50D2597</t>
  </si>
  <si>
    <t>metadata</t>
  </si>
  <si>
    <t>TEntity</t>
  </si>
  <si>
    <t>5670193F-C2A1-45F9-861C-90A8AEEF305B</t>
  </si>
  <si>
    <t>security</t>
  </si>
  <si>
    <t>TPartitionSetting</t>
  </si>
  <si>
    <t>BEF74AA6-952B-4255-8AE2-D22F1BBA4D8B</t>
  </si>
  <si>
    <t>courses-prerequisites</t>
  </si>
  <si>
    <t>entities</t>
  </si>
  <si>
    <t>{entity:guid}</t>
  </si>
  <si>
    <t>CoursePrerequisite</t>
  </si>
  <si>
    <t>Entity</t>
  </si>
  <si>
    <t>Partitions</t>
  </si>
  <si>
    <t>Entities</t>
  </si>
  <si>
    <t>ActivityIdentifier,CompetencyStandardIdentifier</t>
  </si>
  <si>
    <t>CourseEnrollmentIdentifier</t>
  </si>
  <si>
    <t>{collection:guid}</t>
  </si>
  <si>
    <t>Action</t>
  </si>
  <si>
    <t>actions</t>
  </si>
  <si>
    <t>standards-achievements</t>
  </si>
  <si>
    <t>standards-groups</t>
  </si>
  <si>
    <t>StandardAchievement</t>
  </si>
  <si>
    <t>Timeline</t>
  </si>
  <si>
    <t>{transaction:guid}</t>
  </si>
  <si>
    <t>events-users</t>
  </si>
  <si>
    <t>events-timers</t>
  </si>
  <si>
    <t>events-seats</t>
  </si>
  <si>
    <t>EventUser</t>
  </si>
  <si>
    <t>EventTimer</t>
  </si>
  <si>
    <t>EventSeat</t>
  </si>
  <si>
    <t>QEventSeat</t>
  </si>
  <si>
    <t>QEventUser</t>
  </si>
  <si>
    <t>AchievementPrerequisite</t>
  </si>
  <si>
    <t>achievements-prerequisites</t>
  </si>
  <si>
    <t>Changes</t>
  </si>
  <si>
    <t>changes</t>
  </si>
  <si>
    <t>GradebookEvent</t>
  </si>
  <si>
    <t>gradebooks-events</t>
  </si>
  <si>
    <t>{gradebook:guid}/{event:guid}</t>
  </si>
  <si>
    <t>AchievementCategory</t>
  </si>
  <si>
    <t>achievements-categories</t>
  </si>
  <si>
    <t>TChange</t>
  </si>
  <si>
    <t>ComponentPart</t>
  </si>
  <si>
    <t>Feature</t>
  </si>
  <si>
    <t>Progress</t>
  </si>
  <si>
    <t>Answers</t>
  </si>
  <si>
    <t>Questions</t>
  </si>
  <si>
    <t>QBankFormQuestionGradeitem</t>
  </si>
  <si>
    <t>BankFormQuestionGradeitem</t>
  </si>
  <si>
    <t>QMailoutRecipientCopy</t>
  </si>
  <si>
    <t>Messaging</t>
  </si>
  <si>
    <t>MailoutRecipientCopy</t>
  </si>
  <si>
    <t>mailouts-recipients-copies</t>
  </si>
  <si>
    <t>Directory</t>
  </si>
  <si>
    <t>People</t>
  </si>
  <si>
    <t>people</t>
  </si>
  <si>
    <t>people-addresses</t>
  </si>
  <si>
    <t>QPersonSecret</t>
  </si>
  <si>
    <t>people-secrets</t>
  </si>
  <si>
    <t>Variant</t>
  </si>
  <si>
    <t>Booking</t>
  </si>
  <si>
    <t>QEventForm</t>
  </si>
  <si>
    <t>EventForm</t>
  </si>
  <si>
    <t>events-forms</t>
  </si>
  <si>
    <t>QCredentialChange</t>
  </si>
  <si>
    <t>CredentialChange</t>
  </si>
  <si>
    <t>credentials-changes</t>
  </si>
  <si>
    <t>Progressions</t>
  </si>
  <si>
    <t>QEnrollmentChange</t>
  </si>
  <si>
    <t>EnrollmentChange</t>
  </si>
  <si>
    <t>enrollments-changes</t>
  </si>
  <si>
    <t>QProgressionValidation</t>
  </si>
  <si>
    <t>ProgressionValidation</t>
  </si>
  <si>
    <t>QGradeitem</t>
  </si>
  <si>
    <t>Gradeitem</t>
  </si>
  <si>
    <t>QGradeitemCompetency</t>
  </si>
  <si>
    <t>GradeitemCompetency</t>
  </si>
  <si>
    <t>QProgressionChange</t>
  </si>
  <si>
    <t>ProgressionChange</t>
  </si>
  <si>
    <t>progressions-changes</t>
  </si>
  <si>
    <t>QRubric</t>
  </si>
  <si>
    <t>QRubricCriterion</t>
  </si>
  <si>
    <t>RubricCriterionIdentifier</t>
  </si>
  <si>
    <t>QRubricRating</t>
  </si>
  <si>
    <t>RubricRatingIdentifier</t>
  </si>
  <si>
    <t>learners-programs-summaries</t>
  </si>
  <si>
    <t>Workspace</t>
  </si>
  <si>
    <t>Competency</t>
  </si>
  <si>
    <t>{standard:guid}/{group:guid}</t>
  </si>
  <si>
    <t>QValidationChange</t>
  </si>
  <si>
    <t>ValidationChange</t>
  </si>
  <si>
    <t>validations-changes</t>
  </si>
  <si>
    <t>Feedback</t>
  </si>
  <si>
    <t>Respondents</t>
  </si>
  <si>
    <t>Platform</t>
  </si>
  <si>
    <t>{mock:guid}</t>
  </si>
  <si>
    <t>TUserField</t>
  </si>
  <si>
    <t>UserField</t>
  </si>
  <si>
    <t>users-fields</t>
  </si>
  <si>
    <t>learners-forms-attempts</t>
  </si>
  <si>
    <t>TGroupField</t>
  </si>
  <si>
    <t>GroupField</t>
  </si>
  <si>
    <t>groups-fields</t>
  </si>
  <si>
    <t>people-fields</t>
  </si>
  <si>
    <t>TInput</t>
  </si>
  <si>
    <t>Inputs</t>
  </si>
  <si>
    <t>Input</t>
  </si>
  <si>
    <t>inputs</t>
  </si>
  <si>
    <t>LtiLink</t>
  </si>
  <si>
    <t>lti-links</t>
  </si>
  <si>
    <t>colleges-certificates</t>
  </si>
  <si>
    <t>TSurveyAB</t>
  </si>
  <si>
    <t>SurveyAB</t>
  </si>
  <si>
    <t>surveys-ab</t>
  </si>
  <si>
    <t>TCounter</t>
  </si>
  <si>
    <t>TReportField</t>
  </si>
  <si>
    <t>ReportField</t>
  </si>
  <si>
    <t>reports-fields</t>
  </si>
  <si>
    <t>TReportFilter</t>
  </si>
  <si>
    <t>ReportFilter</t>
  </si>
  <si>
    <t>reports-filters</t>
  </si>
  <si>
    <t>TSurveyHC</t>
  </si>
  <si>
    <t>SurveyHC</t>
  </si>
  <si>
    <t>surveys-hc</t>
  </si>
  <si>
    <t>TSurveyHI</t>
  </si>
  <si>
    <t>SurveyHI</t>
  </si>
  <si>
    <t>surveys-hi</t>
  </si>
  <si>
    <t>TReportChange</t>
  </si>
  <si>
    <t>ReportChange</t>
  </si>
  <si>
    <t>reports-changes</t>
  </si>
  <si>
    <t>TSurveyMF</t>
  </si>
  <si>
    <t>SurveyMF</t>
  </si>
  <si>
    <t>surveys-mf</t>
  </si>
  <si>
    <t>TSurveyMR</t>
  </si>
  <si>
    <t>SurveyMR</t>
  </si>
  <si>
    <t>surveys-mr</t>
  </si>
  <si>
    <t>TSurveyPA</t>
  </si>
  <si>
    <t>SurveyPA</t>
  </si>
  <si>
    <t>surveys-pa</t>
  </si>
  <si>
    <t>TReportFolder</t>
  </si>
  <si>
    <t>ReportFolder</t>
  </si>
  <si>
    <t>reports-folders</t>
  </si>
  <si>
    <t>TReportFolderComment</t>
  </si>
  <si>
    <t>ReportFolderComment</t>
  </si>
  <si>
    <t>reports-folders-comments</t>
  </si>
  <si>
    <t>ReportMapping</t>
  </si>
  <si>
    <t>reports-mappings</t>
  </si>
  <si>
    <t>TMoodleChange</t>
  </si>
  <si>
    <t>MoodleChange</t>
  </si>
  <si>
    <t>moodle-changes</t>
  </si>
  <si>
    <t>TScormChange</t>
  </si>
  <si>
    <t>ScormChange</t>
  </si>
  <si>
    <t>scorm-changes</t>
  </si>
  <si>
    <t>TXapiChange</t>
  </si>
  <si>
    <t>Xapi</t>
  </si>
  <si>
    <t>XapiChange</t>
  </si>
  <si>
    <t>xapi-changes</t>
  </si>
  <si>
    <t>TApplicant</t>
  </si>
  <si>
    <t>Applicants</t>
  </si>
  <si>
    <t>Applicant</t>
  </si>
  <si>
    <t>applicants</t>
  </si>
  <si>
    <t>candidates-languages-proficiencies</t>
  </si>
  <si>
    <t>TApiCall</t>
  </si>
  <si>
    <t>Hub</t>
  </si>
  <si>
    <t>ApiCall</t>
  </si>
  <si>
    <t>api-calls</t>
  </si>
  <si>
    <t>TPartitionField</t>
  </si>
  <si>
    <t>PartitionField</t>
  </si>
  <si>
    <t>partitions-fields</t>
  </si>
  <si>
    <t>Routes</t>
  </si>
  <si>
    <t>{id:guid}</t>
  </si>
  <si>
    <t>TLookupList</t>
  </si>
  <si>
    <t>LookupList</t>
  </si>
  <si>
    <t>lookups-lists</t>
  </si>
  <si>
    <t>TLookupItem</t>
  </si>
  <si>
    <t>LookupItem</t>
  </si>
  <si>
    <t>lookups-items</t>
  </si>
  <si>
    <t>Upgrades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</si>
</sst>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>
      <pane ySplit="1" topLeftCell="A200" activePane="bottomLeft" state="frozen"/>
      <selection pane="bottomLeft" activeCell="M206" sqref="M206:M209"/>
    </sheetView>
  </sheetViews>
  <sheetFormatPr defaultRowHeight="15" x14ac:dyDescent="0.25"/>
  <cols>
    <col min="1" max="2" width="15.7109375" customWidth="1"/>
    <col min="3" max="3" width="32.7109375" bestFit="1" customWidth="1"/>
    <col min="4" max="11" width="32.7109375" customWidth="1"/>
    <col min="12" max="12" width="15.7109375" customWidth="1"/>
  </cols>
  <sheetData>
    <row r="1" spans="1:13" s="1" customFormat="1" x14ac:dyDescent="0.25">
      <c r="A1" s="1" t="s">
        <v>1161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  <c r="H1" s="1" t="s">
        <v>1212</v>
      </c>
      <c r="I1" s="1" t="s">
        <v>1157</v>
      </c>
      <c r="J1" s="1" t="s">
        <v>1158</v>
      </c>
      <c r="K1" s="1" t="s">
        <v>1159</v>
      </c>
      <c r="L1" s="1" t="s">
        <v>1160</v>
      </c>
      <c r="M1" s="1" t="str">
        <f>"insert into metadata.TEntity (" &amp; A1 &amp; "," &amp; B1 &amp; "," &amp; C1 &amp; "," &amp; D1 &amp; "," &amp; E1 &amp; "," &amp; F1 &amp; "," &amp; G1 &amp; "," &amp; H1 &amp; "," &amp; I1 &amp; "," &amp; J1 &amp; "," &amp; K1 &amp; "," &amp; L1 &amp; ") values"</f>
        <v>insert into metadata.TEntity (StorageStructure,StorageSchema,StorageTable,StorageTableRename,StorageKey,ComponentType,ComponentName,ComponentPart,EntityName,CollectionSlug,CollectionKey,EntityId) values</v>
      </c>
    </row>
    <row r="2" spans="1:13" x14ac:dyDescent="0.25">
      <c r="A2" t="s">
        <v>3</v>
      </c>
      <c r="B2" t="s">
        <v>641</v>
      </c>
      <c r="C2" t="s">
        <v>649</v>
      </c>
      <c r="E2" t="s">
        <v>650</v>
      </c>
      <c r="F2" t="s">
        <v>687</v>
      </c>
      <c r="G2" t="s">
        <v>638</v>
      </c>
      <c r="H2" t="s">
        <v>741</v>
      </c>
      <c r="I2" t="s">
        <v>647</v>
      </c>
      <c r="J2" t="s">
        <v>648</v>
      </c>
      <c r="K2" t="s">
        <v>858</v>
      </c>
      <c r="L2" t="s">
        <v>859</v>
      </c>
      <c r="M2" t="str">
        <f t="shared" ref="M2:M65" si="0">", ('" &amp; A2 &amp; "','" &amp; B2 &amp; "','" &amp; C2 &amp; "','" &amp; D2 &amp; "','" &amp; E2 &amp; "','" &amp; F2 &amp; "','" &amp; G2 &amp; "','" &amp; H2 &amp; "','" &amp; I2 &amp; "','" &amp; J2 &amp; "','" &amp; K2 &amp; "','" &amp; L2 &amp; "')"</f>
        <v>, ('Projection','accounts','QOrganization','','OrganizationIdentifier','Utility','Security','Organizations','Organization','organizations','{organization:guid}','236BEA94-F94F-43C3-8283-4D6B705CDFEE')</v>
      </c>
    </row>
    <row r="3" spans="1:13" x14ac:dyDescent="0.25">
      <c r="A3" t="s">
        <v>3</v>
      </c>
      <c r="B3" t="s">
        <v>315</v>
      </c>
      <c r="C3" t="s">
        <v>316</v>
      </c>
      <c r="E3" t="s">
        <v>317</v>
      </c>
      <c r="F3" t="s">
        <v>1213</v>
      </c>
      <c r="G3" t="s">
        <v>1214</v>
      </c>
      <c r="H3" t="s">
        <v>313</v>
      </c>
      <c r="I3" t="s">
        <v>314</v>
      </c>
      <c r="J3" t="s">
        <v>315</v>
      </c>
      <c r="K3" t="s">
        <v>860</v>
      </c>
      <c r="L3" t="s">
        <v>861</v>
      </c>
      <c r="M3" t="str">
        <f t="shared" si="0"/>
        <v>, ('Projection','achievements','QAchievement','','AchievementIdentifier','Feature','Progress','Achievements','Achievement','achievements','{achievement:guid}','69AAC37F-4A18-4E70-B6A2-8AA741EE6D6A')</v>
      </c>
    </row>
    <row r="4" spans="1:13" x14ac:dyDescent="0.25">
      <c r="A4" t="s">
        <v>3</v>
      </c>
      <c r="B4" t="s">
        <v>315</v>
      </c>
      <c r="C4" t="s">
        <v>338</v>
      </c>
      <c r="E4" t="s">
        <v>339</v>
      </c>
      <c r="F4" t="s">
        <v>1213</v>
      </c>
      <c r="G4" t="s">
        <v>1214</v>
      </c>
      <c r="H4" t="s">
        <v>335</v>
      </c>
      <c r="I4" t="s">
        <v>336</v>
      </c>
      <c r="J4" t="s">
        <v>337</v>
      </c>
      <c r="K4" t="s">
        <v>862</v>
      </c>
      <c r="L4" t="s">
        <v>863</v>
      </c>
      <c r="M4" t="str">
        <f t="shared" si="0"/>
        <v>, ('Projection','achievements','QCredential','','CredentialIdentifier','Feature','Progress','Credentials','Credential','credentials','{credential:guid}','30C922DB-8C85-42C1-9E51-99A89B3B7762')</v>
      </c>
    </row>
    <row r="5" spans="1:13" x14ac:dyDescent="0.25">
      <c r="A5" t="s">
        <v>3</v>
      </c>
      <c r="B5" t="s">
        <v>4</v>
      </c>
      <c r="C5" t="s">
        <v>5</v>
      </c>
      <c r="E5" t="s">
        <v>6</v>
      </c>
      <c r="F5" t="s">
        <v>1213</v>
      </c>
      <c r="G5" t="s">
        <v>0</v>
      </c>
      <c r="H5" t="s">
        <v>1215</v>
      </c>
      <c r="I5" t="s">
        <v>1</v>
      </c>
      <c r="J5" t="s">
        <v>2</v>
      </c>
      <c r="K5" t="s">
        <v>842</v>
      </c>
      <c r="L5" t="s">
        <v>864</v>
      </c>
      <c r="M5" t="str">
        <f t="shared" si="0"/>
        <v>, ('Projection','assessments','QAttempt','','AttemptIdentifier','Feature','Assessment','Answers','Attempt','attempts','{attempt:guid}','4AAC1ECE-319A-47E0-AB27-AA5E84BA28B1')</v>
      </c>
    </row>
    <row r="6" spans="1:13" x14ac:dyDescent="0.25">
      <c r="A6" t="s">
        <v>3</v>
      </c>
      <c r="B6" t="s">
        <v>4</v>
      </c>
      <c r="C6" t="s">
        <v>10</v>
      </c>
      <c r="E6" t="s">
        <v>11</v>
      </c>
      <c r="F6" t="s">
        <v>1213</v>
      </c>
      <c r="G6" t="s">
        <v>0</v>
      </c>
      <c r="H6" t="s">
        <v>1215</v>
      </c>
      <c r="I6" t="s">
        <v>7</v>
      </c>
      <c r="J6" t="s">
        <v>8</v>
      </c>
      <c r="K6" t="s">
        <v>9</v>
      </c>
      <c r="L6" t="s">
        <v>865</v>
      </c>
      <c r="M6" t="str">
        <f t="shared" si="0"/>
        <v>, ('Projection','assessments','QAttemptMatch','','AttemptIdentifier,MatchSequence,QuestionIdentifier','Feature','Assessment','Answers','AttemptMatch','attempts-matches','{attempt:guid}/{question:guid}/{match:int}','83697577-7A68-42E7-B993-E309B20D9DB5')</v>
      </c>
    </row>
    <row r="7" spans="1:13" x14ac:dyDescent="0.25">
      <c r="A7" t="s">
        <v>3</v>
      </c>
      <c r="B7" t="s">
        <v>4</v>
      </c>
      <c r="C7" t="s">
        <v>15</v>
      </c>
      <c r="E7" t="s">
        <v>16</v>
      </c>
      <c r="F7" t="s">
        <v>1213</v>
      </c>
      <c r="G7" t="s">
        <v>0</v>
      </c>
      <c r="H7" t="s">
        <v>1215</v>
      </c>
      <c r="I7" t="s">
        <v>12</v>
      </c>
      <c r="J7" t="s">
        <v>13</v>
      </c>
      <c r="K7" t="s">
        <v>14</v>
      </c>
      <c r="L7" t="s">
        <v>866</v>
      </c>
      <c r="M7" t="str">
        <f t="shared" si="0"/>
        <v>, ('Projection','assessments','QAttemptOption','','AttemptIdentifier,OptionKey,QuestionIdentifier','Feature','Assessment','Answers','AttemptOption','attempts-options','{attempt:guid}/{question:guid}/{option:int}','A8A3F248-222D-4548-BD97-4B47C353F036')</v>
      </c>
    </row>
    <row r="8" spans="1:13" x14ac:dyDescent="0.25">
      <c r="A8" t="s">
        <v>3</v>
      </c>
      <c r="B8" t="s">
        <v>4</v>
      </c>
      <c r="C8" t="s">
        <v>20</v>
      </c>
      <c r="E8" t="s">
        <v>21</v>
      </c>
      <c r="F8" t="s">
        <v>1213</v>
      </c>
      <c r="G8" t="s">
        <v>0</v>
      </c>
      <c r="H8" t="s">
        <v>1215</v>
      </c>
      <c r="I8" t="s">
        <v>17</v>
      </c>
      <c r="J8" t="s">
        <v>18</v>
      </c>
      <c r="K8" t="s">
        <v>19</v>
      </c>
      <c r="L8" t="s">
        <v>867</v>
      </c>
      <c r="M8" t="str">
        <f t="shared" si="0"/>
        <v>, ('Projection','assessments','QAttemptPin','','AttemptIdentifier,PinSequence,QuestionIdentifier','Feature','Assessment','Answers','AttemptPin','attempts-pins','{attempt:guid}/{question:guid}/{pin:int}','9C0B8E34-BF6F-4FDA-9C91-09A599ECFDE3')</v>
      </c>
    </row>
    <row r="9" spans="1:13" x14ac:dyDescent="0.25">
      <c r="A9" t="s">
        <v>3</v>
      </c>
      <c r="B9" t="s">
        <v>4</v>
      </c>
      <c r="C9" t="s">
        <v>25</v>
      </c>
      <c r="E9" t="s">
        <v>26</v>
      </c>
      <c r="F9" t="s">
        <v>1213</v>
      </c>
      <c r="G9" t="s">
        <v>0</v>
      </c>
      <c r="H9" t="s">
        <v>1215</v>
      </c>
      <c r="I9" t="s">
        <v>22</v>
      </c>
      <c r="J9" t="s">
        <v>23</v>
      </c>
      <c r="K9" t="s">
        <v>24</v>
      </c>
      <c r="L9" t="s">
        <v>868</v>
      </c>
      <c r="M9" t="str">
        <f t="shared" si="0"/>
        <v>, ('Projection','assessments','QAttemptQuestion','','AttemptIdentifier,QuestionIdentifier','Feature','Assessment','Answers','AttemptQuestion','attempts-questions','{attempt:guid}/{question:guid}','E79A7F05-33B8-43EB-A34C-E2B46EDEDDD2')</v>
      </c>
    </row>
    <row r="10" spans="1:13" x14ac:dyDescent="0.25">
      <c r="A10" t="s">
        <v>3</v>
      </c>
      <c r="B10" t="s">
        <v>4</v>
      </c>
      <c r="C10" t="s">
        <v>765</v>
      </c>
      <c r="E10" t="s">
        <v>766</v>
      </c>
      <c r="F10" t="s">
        <v>1213</v>
      </c>
      <c r="G10" t="s">
        <v>0</v>
      </c>
      <c r="H10" t="s">
        <v>1215</v>
      </c>
      <c r="I10" t="s">
        <v>1008</v>
      </c>
      <c r="J10" t="s">
        <v>836</v>
      </c>
      <c r="K10" t="s">
        <v>835</v>
      </c>
      <c r="L10" t="s">
        <v>764</v>
      </c>
      <c r="M10" t="str">
        <f t="shared" si="0"/>
        <v>, ('Projection','assessments','QAttemptSection','','AttemptIdentifier,SectionIndex','Feature','Assessment','Answers','AttemptSection','attempts-sections','{attempt:guid}/{section:int}','29E32DD0-1141-4684-BAC7-C31F4ECD295E')</v>
      </c>
    </row>
    <row r="11" spans="1:13" x14ac:dyDescent="0.25">
      <c r="A11" t="s">
        <v>3</v>
      </c>
      <c r="B11" t="s">
        <v>4</v>
      </c>
      <c r="C11" t="s">
        <v>768</v>
      </c>
      <c r="E11" t="s">
        <v>769</v>
      </c>
      <c r="F11" t="s">
        <v>1213</v>
      </c>
      <c r="G11" t="s">
        <v>0</v>
      </c>
      <c r="H11" t="s">
        <v>1215</v>
      </c>
      <c r="I11" t="s">
        <v>1009</v>
      </c>
      <c r="J11" t="s">
        <v>837</v>
      </c>
      <c r="K11" t="s">
        <v>838</v>
      </c>
      <c r="L11" t="s">
        <v>767</v>
      </c>
      <c r="M11" t="str">
        <f t="shared" si="0"/>
        <v>, ('Projection','assessments','QAttemptSolution','','AttemptIdentifier,QuestionIdentifier,SolutionIdentifier','Feature','Assessment','Answers','AttemptSolution','attempts-solutions','{attempt:guid}/{question:guid}/{solution:guid}','518978C6-696D-490E-93C8-6879893DB54D')</v>
      </c>
    </row>
    <row r="12" spans="1:13" x14ac:dyDescent="0.25">
      <c r="A12" t="s">
        <v>3</v>
      </c>
      <c r="B12" t="s">
        <v>122</v>
      </c>
      <c r="C12" t="s">
        <v>123</v>
      </c>
      <c r="E12" t="s">
        <v>124</v>
      </c>
      <c r="F12" t="s">
        <v>1213</v>
      </c>
      <c r="G12" t="s">
        <v>118</v>
      </c>
      <c r="H12" t="s">
        <v>119</v>
      </c>
      <c r="I12" t="s">
        <v>120</v>
      </c>
      <c r="J12" t="s">
        <v>121</v>
      </c>
      <c r="K12" t="s">
        <v>710</v>
      </c>
      <c r="L12" t="s">
        <v>869</v>
      </c>
      <c r="M12" t="str">
        <f t="shared" si="0"/>
        <v>, ('Projection','assets','QComment','','CommentIdentifier','Feature','Content','Comments','Comment','comments','{comment:guid}','E3BD88F2-0051-4A23-A264-99611DB4513D')</v>
      </c>
    </row>
    <row r="13" spans="1:13" x14ac:dyDescent="0.25">
      <c r="A13" t="s">
        <v>3</v>
      </c>
      <c r="B13" t="s">
        <v>122</v>
      </c>
      <c r="C13" t="s">
        <v>145</v>
      </c>
      <c r="E13" t="s">
        <v>146</v>
      </c>
      <c r="F13" t="s">
        <v>1213</v>
      </c>
      <c r="G13" t="s">
        <v>118</v>
      </c>
      <c r="H13" t="s">
        <v>138</v>
      </c>
      <c r="I13" t="s">
        <v>143</v>
      </c>
      <c r="J13" t="s">
        <v>144</v>
      </c>
      <c r="K13" t="s">
        <v>701</v>
      </c>
      <c r="L13" t="s">
        <v>870</v>
      </c>
      <c r="M13" t="str">
        <f t="shared" si="0"/>
        <v>, ('Projection','assets','QGlossaryTerm','','TermIdentifier','Feature','Content','Glossaries','GlossaryTerm','glossaries-terms','{term:guid}','D949AF0A-6DF3-4770-AADE-0103A451FFAB')</v>
      </c>
    </row>
    <row r="14" spans="1:13" x14ac:dyDescent="0.25">
      <c r="A14" t="s">
        <v>3</v>
      </c>
      <c r="B14" t="s">
        <v>122</v>
      </c>
      <c r="C14" t="s">
        <v>141</v>
      </c>
      <c r="D14" t="s">
        <v>871</v>
      </c>
      <c r="E14" t="s">
        <v>142</v>
      </c>
      <c r="F14" t="s">
        <v>1213</v>
      </c>
      <c r="G14" t="s">
        <v>118</v>
      </c>
      <c r="H14" t="s">
        <v>138</v>
      </c>
      <c r="I14" t="s">
        <v>139</v>
      </c>
      <c r="J14" t="s">
        <v>140</v>
      </c>
      <c r="K14" t="s">
        <v>700</v>
      </c>
      <c r="L14" t="s">
        <v>872</v>
      </c>
      <c r="M14" t="str">
        <f t="shared" si="0"/>
        <v>, ('Projection','assets','QGlossaryTermContent','QGlossaryContent','RelationshipIdentifier','Feature','Content','Glossaries','GlossaryContent','glossaries-contents','{content:guid}','8E60CA58-226B-4EC2-864C-0A3D26DFB8A7')</v>
      </c>
    </row>
    <row r="15" spans="1:13" x14ac:dyDescent="0.25">
      <c r="A15" t="s">
        <v>3</v>
      </c>
      <c r="B15" t="s">
        <v>28</v>
      </c>
      <c r="C15" t="s">
        <v>29</v>
      </c>
      <c r="E15" t="s">
        <v>30</v>
      </c>
      <c r="F15" t="s">
        <v>1213</v>
      </c>
      <c r="G15" t="s">
        <v>0</v>
      </c>
      <c r="H15" t="s">
        <v>1216</v>
      </c>
      <c r="I15" t="s">
        <v>27</v>
      </c>
      <c r="J15" t="s">
        <v>28</v>
      </c>
      <c r="K15" t="s">
        <v>873</v>
      </c>
      <c r="L15" t="s">
        <v>874</v>
      </c>
      <c r="M15" t="str">
        <f t="shared" si="0"/>
        <v>, ('Projection','banks','QBank','','BankIdentifier','Feature','Assessment','Questions','Bank','banks','{bank:guid}','79BEC9D6-0A85-4822-83AC-194E3F926501')</v>
      </c>
    </row>
    <row r="16" spans="1:13" x14ac:dyDescent="0.25">
      <c r="A16" t="s">
        <v>3</v>
      </c>
      <c r="B16" t="s">
        <v>28</v>
      </c>
      <c r="C16" t="s">
        <v>33</v>
      </c>
      <c r="E16" t="s">
        <v>34</v>
      </c>
      <c r="F16" t="s">
        <v>1213</v>
      </c>
      <c r="G16" t="s">
        <v>0</v>
      </c>
      <c r="H16" t="s">
        <v>1216</v>
      </c>
      <c r="I16" t="s">
        <v>31</v>
      </c>
      <c r="J16" t="s">
        <v>32</v>
      </c>
      <c r="K16" t="s">
        <v>689</v>
      </c>
      <c r="L16" t="s">
        <v>875</v>
      </c>
      <c r="M16" t="str">
        <f t="shared" si="0"/>
        <v>, ('Projection','banks','QBankForm','','FormIdentifier','Feature','Assessment','Questions','BankForm','banks-forms','{form:guid}','534E46BB-2B27-4894-BDA8-E5EADDBED92F')</v>
      </c>
    </row>
    <row r="17" spans="1:13" x14ac:dyDescent="0.25">
      <c r="A17" t="s">
        <v>3</v>
      </c>
      <c r="B17" t="s">
        <v>28</v>
      </c>
      <c r="C17" t="s">
        <v>778</v>
      </c>
      <c r="E17" t="s">
        <v>849</v>
      </c>
      <c r="F17" t="s">
        <v>1213</v>
      </c>
      <c r="G17" t="s">
        <v>0</v>
      </c>
      <c r="H17" t="s">
        <v>1216</v>
      </c>
      <c r="I17" t="s">
        <v>1016</v>
      </c>
      <c r="J17" t="s">
        <v>843</v>
      </c>
      <c r="K17" t="s">
        <v>844</v>
      </c>
      <c r="L17" t="s">
        <v>777</v>
      </c>
      <c r="M17" t="str">
        <f t="shared" si="0"/>
        <v>, ('Projection','banks','QBankOption','','OptionKey,QuestionIdentifier','Feature','Assessment','Questions','BankOption','banks-options','{bank:guid}/{option:int}','C87D99A6-9AD1-49A4-9FE6-92E2BD5280D6')</v>
      </c>
    </row>
    <row r="18" spans="1:13" x14ac:dyDescent="0.25">
      <c r="A18" t="s">
        <v>3</v>
      </c>
      <c r="B18" t="s">
        <v>28</v>
      </c>
      <c r="C18" t="s">
        <v>37</v>
      </c>
      <c r="E18" t="s">
        <v>38</v>
      </c>
      <c r="F18" t="s">
        <v>1213</v>
      </c>
      <c r="G18" t="s">
        <v>0</v>
      </c>
      <c r="H18" t="s">
        <v>1216</v>
      </c>
      <c r="I18" t="s">
        <v>35</v>
      </c>
      <c r="J18" t="s">
        <v>36</v>
      </c>
      <c r="K18" t="s">
        <v>690</v>
      </c>
      <c r="L18" t="s">
        <v>876</v>
      </c>
      <c r="M18" t="str">
        <f t="shared" si="0"/>
        <v>, ('Projection','banks','QBankQuestion','','QuestionIdentifier','Feature','Assessment','Questions','BankQuestion','banks-questions','{question:guid}','61D98D6B-192B-46DA-B9F8-638C89C5856F')</v>
      </c>
    </row>
    <row r="19" spans="1:13" x14ac:dyDescent="0.25">
      <c r="A19" t="s">
        <v>3</v>
      </c>
      <c r="B19" t="s">
        <v>28</v>
      </c>
      <c r="C19" t="s">
        <v>42</v>
      </c>
      <c r="E19" t="s">
        <v>43</v>
      </c>
      <c r="F19" t="s">
        <v>1213</v>
      </c>
      <c r="G19" t="s">
        <v>0</v>
      </c>
      <c r="H19" t="s">
        <v>1216</v>
      </c>
      <c r="I19" t="s">
        <v>39</v>
      </c>
      <c r="J19" t="s">
        <v>40</v>
      </c>
      <c r="K19" t="s">
        <v>41</v>
      </c>
      <c r="L19" t="s">
        <v>877</v>
      </c>
      <c r="M19" t="str">
        <f t="shared" si="0"/>
        <v>, ('Projection','banks','QBankQuestionAttachment','','QuestionIdentifier,UploadIdentifier','Feature','Assessment','Questions','BankQuestionAttachment','banks-questions-attachments','{question:guid}/{attachment:guid}','CC77783A-14FC-4925-B896-D07E4FC5925C')</v>
      </c>
    </row>
    <row r="20" spans="1:13" x14ac:dyDescent="0.25">
      <c r="A20" t="s">
        <v>3</v>
      </c>
      <c r="B20" t="s">
        <v>28</v>
      </c>
      <c r="C20" t="s">
        <v>780</v>
      </c>
      <c r="D20" t="s">
        <v>1217</v>
      </c>
      <c r="E20" t="s">
        <v>847</v>
      </c>
      <c r="F20" t="s">
        <v>1213</v>
      </c>
      <c r="G20" t="s">
        <v>0</v>
      </c>
      <c r="H20" t="s">
        <v>1216</v>
      </c>
      <c r="I20" t="s">
        <v>1218</v>
      </c>
      <c r="J20" t="s">
        <v>845</v>
      </c>
      <c r="K20" t="s">
        <v>846</v>
      </c>
      <c r="L20" t="s">
        <v>779</v>
      </c>
      <c r="M20" t="str">
        <f t="shared" si="0"/>
        <v>, ('Projection','banks','QBankQuestionGradeItem','QBankFormQuestionGradeitem','FormIdentifier,QuestionIdentifier','Feature','Assessment','Questions','BankFormQuestionGradeitem','banks-forms-questions-gradeitems','{form:guid}/{question:guid}','73139FBB-4E58-4DC9-8CC1-BA6F1202CAAF')</v>
      </c>
    </row>
    <row r="21" spans="1:13" x14ac:dyDescent="0.25">
      <c r="A21" t="s">
        <v>3</v>
      </c>
      <c r="B21" t="s">
        <v>28</v>
      </c>
      <c r="C21" t="s">
        <v>47</v>
      </c>
      <c r="D21" t="s">
        <v>878</v>
      </c>
      <c r="E21" t="s">
        <v>48</v>
      </c>
      <c r="F21" t="s">
        <v>1213</v>
      </c>
      <c r="G21" t="s">
        <v>0</v>
      </c>
      <c r="H21" t="s">
        <v>1216</v>
      </c>
      <c r="I21" t="s">
        <v>44</v>
      </c>
      <c r="J21" t="s">
        <v>45</v>
      </c>
      <c r="K21" t="s">
        <v>46</v>
      </c>
      <c r="L21" t="s">
        <v>879</v>
      </c>
      <c r="M21" t="str">
        <f t="shared" si="0"/>
        <v>, ('Projection','banks','QBankQuestionSubCompetency','QBankQuestionCompetency','QuestionIdentifier,SubCompetencyIdentifier','Feature','Assessment','Questions','BankQuestionCompetency','banks-questions-competencies','{question:guid}/{competency:guid}','5E18FC88-8E9F-4B0F-9FF3-357458365B1D')</v>
      </c>
    </row>
    <row r="22" spans="1:13" x14ac:dyDescent="0.25">
      <c r="A22" t="s">
        <v>3</v>
      </c>
      <c r="B22" t="s">
        <v>28</v>
      </c>
      <c r="C22" t="s">
        <v>51</v>
      </c>
      <c r="E22" t="s">
        <v>52</v>
      </c>
      <c r="F22" t="s">
        <v>1213</v>
      </c>
      <c r="G22" t="s">
        <v>0</v>
      </c>
      <c r="H22" t="s">
        <v>1216</v>
      </c>
      <c r="I22" t="s">
        <v>49</v>
      </c>
      <c r="J22" t="s">
        <v>50</v>
      </c>
      <c r="K22" t="s">
        <v>691</v>
      </c>
      <c r="L22" t="s">
        <v>880</v>
      </c>
      <c r="M22" t="str">
        <f t="shared" si="0"/>
        <v>, ('Projection','banks','QBankSpecification','','SpecIdentifier','Feature','Assessment','Questions','BankSpecification','banks-specifications','{specification:guid}','CEEE3CE0-A0BB-4226-B81D-5CB8511FC6DB')</v>
      </c>
    </row>
    <row r="23" spans="1:13" x14ac:dyDescent="0.25">
      <c r="A23" t="s">
        <v>3</v>
      </c>
      <c r="B23" t="s">
        <v>279</v>
      </c>
      <c r="C23" t="s">
        <v>785</v>
      </c>
      <c r="D23" t="s">
        <v>1219</v>
      </c>
      <c r="E23" t="s">
        <v>786</v>
      </c>
      <c r="F23" t="s">
        <v>1213</v>
      </c>
      <c r="G23" t="s">
        <v>1220</v>
      </c>
      <c r="H23" t="s">
        <v>276</v>
      </c>
      <c r="I23" t="s">
        <v>1221</v>
      </c>
      <c r="J23" t="s">
        <v>1222</v>
      </c>
      <c r="K23" t="s">
        <v>830</v>
      </c>
      <c r="L23" t="s">
        <v>784</v>
      </c>
      <c r="M23" t="str">
        <f t="shared" si="0"/>
        <v>, ('Projection','communications','QCarbonCopy','QMailoutRecipientCopy','CarbonCopyIdentifier','Feature','Messaging','Mailouts','MailoutRecipientCopy','mailouts-recipients-copies','{cc:guid}','8F3268DA-F59B-47F7-82CB-3C95376B244A')</v>
      </c>
    </row>
    <row r="24" spans="1:13" x14ac:dyDescent="0.25">
      <c r="A24" t="s">
        <v>3</v>
      </c>
      <c r="B24" t="s">
        <v>279</v>
      </c>
      <c r="C24" t="s">
        <v>280</v>
      </c>
      <c r="E24" t="s">
        <v>281</v>
      </c>
      <c r="F24" t="s">
        <v>1213</v>
      </c>
      <c r="G24" t="s">
        <v>1220</v>
      </c>
      <c r="H24" t="s">
        <v>276</v>
      </c>
      <c r="I24" t="s">
        <v>277</v>
      </c>
      <c r="J24" t="s">
        <v>278</v>
      </c>
      <c r="K24" t="s">
        <v>881</v>
      </c>
      <c r="L24" t="s">
        <v>882</v>
      </c>
      <c r="M24" t="str">
        <f t="shared" si="0"/>
        <v>, ('Projection','communications','QMailout','','MailoutIdentifier','Feature','Messaging','Mailouts','Mailout','mailouts','{mailout:guid}','40D4FB02-76D4-4B63-8602-AAE97543C6C1')</v>
      </c>
    </row>
    <row r="25" spans="1:13" x14ac:dyDescent="0.25">
      <c r="A25" t="s">
        <v>3</v>
      </c>
      <c r="B25" t="s">
        <v>279</v>
      </c>
      <c r="C25" t="s">
        <v>289</v>
      </c>
      <c r="D25" t="s">
        <v>883</v>
      </c>
      <c r="E25" t="s">
        <v>290</v>
      </c>
      <c r="F25" t="s">
        <v>1213</v>
      </c>
      <c r="G25" t="s">
        <v>1220</v>
      </c>
      <c r="H25" t="s">
        <v>276</v>
      </c>
      <c r="I25" t="s">
        <v>287</v>
      </c>
      <c r="J25" t="s">
        <v>288</v>
      </c>
      <c r="K25" t="s">
        <v>731</v>
      </c>
      <c r="L25" t="s">
        <v>884</v>
      </c>
      <c r="M25" t="str">
        <f t="shared" si="0"/>
        <v>, ('Projection','communications','QRecipient','QMailoutRecipient','RecipientIdentifier','Feature','Messaging','Mailouts','MailoutRecipient','mailouts-recipients','{recipient:guid}','67BB93E2-F066-4D52-A9CD-30A42581D2C9')</v>
      </c>
    </row>
    <row r="26" spans="1:13" x14ac:dyDescent="0.25">
      <c r="A26" t="s">
        <v>3</v>
      </c>
      <c r="B26" t="s">
        <v>82</v>
      </c>
      <c r="C26" t="s">
        <v>83</v>
      </c>
      <c r="E26" t="s">
        <v>84</v>
      </c>
      <c r="F26" t="s">
        <v>1213</v>
      </c>
      <c r="G26" t="s">
        <v>1223</v>
      </c>
      <c r="H26" t="s">
        <v>79</v>
      </c>
      <c r="I26" t="s">
        <v>80</v>
      </c>
      <c r="J26" t="s">
        <v>81</v>
      </c>
      <c r="K26" t="s">
        <v>885</v>
      </c>
      <c r="L26" t="s">
        <v>886</v>
      </c>
      <c r="M26" t="str">
        <f t="shared" si="0"/>
        <v>, ('Projection','contacts','QGroup','','GroupIdentifier','Feature','Directory','Groups','Group','groups','{group:guid}','7C072437-CF64-4130-8991-BE764395A13C')</v>
      </c>
    </row>
    <row r="27" spans="1:13" x14ac:dyDescent="0.25">
      <c r="A27" t="s">
        <v>3</v>
      </c>
      <c r="B27" t="s">
        <v>82</v>
      </c>
      <c r="C27" t="s">
        <v>87</v>
      </c>
      <c r="E27" t="s">
        <v>88</v>
      </c>
      <c r="F27" t="s">
        <v>1213</v>
      </c>
      <c r="G27" t="s">
        <v>1223</v>
      </c>
      <c r="H27" t="s">
        <v>79</v>
      </c>
      <c r="I27" t="s">
        <v>85</v>
      </c>
      <c r="J27" t="s">
        <v>86</v>
      </c>
      <c r="K27" t="s">
        <v>693</v>
      </c>
      <c r="L27" t="s">
        <v>887</v>
      </c>
      <c r="M27" t="str">
        <f t="shared" si="0"/>
        <v>, ('Projection','contacts','QGroupAddress','','AddressIdentifier','Feature','Directory','Groups','GroupAddress','groups-addresses','{address:guid}','2ABA0EC0-13AE-4DF8-B9A8-E4F6470D6FD1')</v>
      </c>
    </row>
    <row r="28" spans="1:13" x14ac:dyDescent="0.25">
      <c r="A28" t="s">
        <v>3</v>
      </c>
      <c r="B28" t="s">
        <v>82</v>
      </c>
      <c r="C28" t="s">
        <v>93</v>
      </c>
      <c r="E28" t="s">
        <v>94</v>
      </c>
      <c r="F28" t="s">
        <v>1213</v>
      </c>
      <c r="G28" t="s">
        <v>1223</v>
      </c>
      <c r="H28" t="s">
        <v>79</v>
      </c>
      <c r="I28" t="s">
        <v>90</v>
      </c>
      <c r="J28" t="s">
        <v>91</v>
      </c>
      <c r="K28" t="s">
        <v>92</v>
      </c>
      <c r="L28" t="s">
        <v>888</v>
      </c>
      <c r="M28" t="str">
        <f t="shared" si="0"/>
        <v>, ('Projection','contacts','QGroupConnection','','ChildGroupIdentifier,ParentGroupIdentifier','Feature','Directory','Groups','GroupConnection','groups-connections','{parent:guid}/{child:guid}','20C43668-7CE2-42B7-95F7-3AA57C044462')</v>
      </c>
    </row>
    <row r="29" spans="1:13" x14ac:dyDescent="0.25">
      <c r="A29" t="s">
        <v>3</v>
      </c>
      <c r="B29" t="s">
        <v>82</v>
      </c>
      <c r="C29" t="s">
        <v>99</v>
      </c>
      <c r="E29" t="s">
        <v>100</v>
      </c>
      <c r="F29" t="s">
        <v>1213</v>
      </c>
      <c r="G29" t="s">
        <v>1223</v>
      </c>
      <c r="H29" t="s">
        <v>79</v>
      </c>
      <c r="I29" t="s">
        <v>97</v>
      </c>
      <c r="J29" t="s">
        <v>98</v>
      </c>
      <c r="K29" t="s">
        <v>695</v>
      </c>
      <c r="L29" t="s">
        <v>889</v>
      </c>
      <c r="M29" t="str">
        <f t="shared" si="0"/>
        <v>, ('Projection','contacts','QGroupTag','','TagIdentifier','Feature','Directory','Groups','GroupTag','groups-tags','{tag:guid}','0E8A5562-6652-48FF-A8B2-0FB75D0FB86A')</v>
      </c>
    </row>
    <row r="30" spans="1:13" x14ac:dyDescent="0.25">
      <c r="A30" t="s">
        <v>3</v>
      </c>
      <c r="B30" t="s">
        <v>82</v>
      </c>
      <c r="C30" t="s">
        <v>104</v>
      </c>
      <c r="E30" t="s">
        <v>105</v>
      </c>
      <c r="F30" t="s">
        <v>1213</v>
      </c>
      <c r="G30" t="s">
        <v>1223</v>
      </c>
      <c r="H30" t="s">
        <v>101</v>
      </c>
      <c r="I30" t="s">
        <v>102</v>
      </c>
      <c r="J30" t="s">
        <v>103</v>
      </c>
      <c r="K30" t="s">
        <v>890</v>
      </c>
      <c r="L30" t="s">
        <v>891</v>
      </c>
      <c r="M30" t="str">
        <f t="shared" si="0"/>
        <v>, ('Projection','contacts','QMembership','','MembershipIdentifier','Feature','Directory','Memberships','Membership','memberships','{membership:guid}','8F7890B2-FFA7-45BB-B876-08D5A66FECAB')</v>
      </c>
    </row>
    <row r="31" spans="1:13" x14ac:dyDescent="0.25">
      <c r="A31" t="s">
        <v>3</v>
      </c>
      <c r="B31" t="s">
        <v>82</v>
      </c>
      <c r="C31" t="s">
        <v>108</v>
      </c>
      <c r="E31" t="s">
        <v>109</v>
      </c>
      <c r="F31" t="s">
        <v>1213</v>
      </c>
      <c r="G31" t="s">
        <v>1223</v>
      </c>
      <c r="H31" t="s">
        <v>101</v>
      </c>
      <c r="I31" t="s">
        <v>106</v>
      </c>
      <c r="J31" t="s">
        <v>107</v>
      </c>
      <c r="K31" t="s">
        <v>696</v>
      </c>
      <c r="L31" t="s">
        <v>892</v>
      </c>
      <c r="M31" t="str">
        <f t="shared" si="0"/>
        <v>, ('Projection','contacts','QMembershipDeletion','','DeletionIdentifier','Feature','Directory','Memberships','MembershipDeletion','memberships-deletions','{deletion:guid}','1984CB15-B311-4333-9AF3-43720E546231')</v>
      </c>
    </row>
    <row r="32" spans="1:13" x14ac:dyDescent="0.25">
      <c r="A32" t="s">
        <v>3</v>
      </c>
      <c r="B32" t="s">
        <v>82</v>
      </c>
      <c r="C32" t="s">
        <v>788</v>
      </c>
      <c r="E32" t="s">
        <v>789</v>
      </c>
      <c r="F32" t="s">
        <v>1213</v>
      </c>
      <c r="G32" t="s">
        <v>1223</v>
      </c>
      <c r="H32" t="s">
        <v>101</v>
      </c>
      <c r="I32" t="s">
        <v>1022</v>
      </c>
      <c r="J32" t="s">
        <v>834</v>
      </c>
      <c r="K32" t="s">
        <v>833</v>
      </c>
      <c r="L32" t="s">
        <v>787</v>
      </c>
      <c r="M32" t="str">
        <f t="shared" si="0"/>
        <v>, ('Projection','contacts','QMembershipReason','','ReasonIdentifier','Feature','Directory','Memberships','MembershipReason','memberships-reasons','{reason:guid}','D1366FDE-9928-4BF2-B4F2-ABDFAC5ACF50')</v>
      </c>
    </row>
    <row r="33" spans="1:13" x14ac:dyDescent="0.25">
      <c r="A33" t="s">
        <v>3</v>
      </c>
      <c r="B33" t="s">
        <v>82</v>
      </c>
      <c r="C33" t="s">
        <v>111</v>
      </c>
      <c r="E33" t="s">
        <v>112</v>
      </c>
      <c r="F33" t="s">
        <v>1213</v>
      </c>
      <c r="G33" t="s">
        <v>1223</v>
      </c>
      <c r="H33" t="s">
        <v>1224</v>
      </c>
      <c r="I33" t="s">
        <v>110</v>
      </c>
      <c r="J33" t="s">
        <v>1225</v>
      </c>
      <c r="K33" t="s">
        <v>893</v>
      </c>
      <c r="L33" t="s">
        <v>894</v>
      </c>
      <c r="M33" t="str">
        <f t="shared" si="0"/>
        <v>, ('Projection','contacts','QPerson','','PersonIdentifier','Feature','Directory','People','Person','people','{person:guid}','24C0B998-AEC2-4207-A489-4989CAABBB1E')</v>
      </c>
    </row>
    <row r="34" spans="1:13" x14ac:dyDescent="0.25">
      <c r="A34" t="s">
        <v>3</v>
      </c>
      <c r="B34" t="s">
        <v>82</v>
      </c>
      <c r="C34" t="s">
        <v>791</v>
      </c>
      <c r="E34" t="s">
        <v>88</v>
      </c>
      <c r="F34" t="s">
        <v>1213</v>
      </c>
      <c r="G34" t="s">
        <v>1223</v>
      </c>
      <c r="H34" t="s">
        <v>1224</v>
      </c>
      <c r="I34" t="s">
        <v>1023</v>
      </c>
      <c r="J34" t="s">
        <v>1226</v>
      </c>
      <c r="K34" t="s">
        <v>693</v>
      </c>
      <c r="L34" t="s">
        <v>790</v>
      </c>
      <c r="M34" t="str">
        <f t="shared" si="0"/>
        <v>, ('Projection','contacts','QPersonAddress','','AddressIdentifier','Feature','Directory','People','PersonAddress','people-addresses','{address:guid}','7DE36416-5F9E-4491-A59F-5A47AB07600F')</v>
      </c>
    </row>
    <row r="35" spans="1:13" x14ac:dyDescent="0.25">
      <c r="A35" t="s">
        <v>3</v>
      </c>
      <c r="B35" t="s">
        <v>82</v>
      </c>
      <c r="C35" t="s">
        <v>1227</v>
      </c>
      <c r="E35" t="s">
        <v>117</v>
      </c>
      <c r="F35" t="s">
        <v>1213</v>
      </c>
      <c r="G35" t="s">
        <v>1223</v>
      </c>
      <c r="H35" t="s">
        <v>1224</v>
      </c>
      <c r="I35" t="s">
        <v>116</v>
      </c>
      <c r="J35" t="s">
        <v>1228</v>
      </c>
      <c r="K35" t="s">
        <v>697</v>
      </c>
      <c r="L35" t="s">
        <v>1029</v>
      </c>
      <c r="M35" t="str">
        <f t="shared" si="0"/>
        <v>, ('Projection','contacts','QPersonSecret','','SecretIdentifier','Feature','Directory','People','PersonSecret','people-secrets','{secret:guid}','665050DC-1B6A-4204-8C5F-D511EF629B79')</v>
      </c>
    </row>
    <row r="36" spans="1:13" x14ac:dyDescent="0.25">
      <c r="A36" t="s">
        <v>3</v>
      </c>
      <c r="B36" t="s">
        <v>205</v>
      </c>
      <c r="C36" t="s">
        <v>1162</v>
      </c>
      <c r="E36" t="s">
        <v>133</v>
      </c>
      <c r="F36" t="s">
        <v>1213</v>
      </c>
      <c r="G36" t="s">
        <v>201</v>
      </c>
      <c r="H36" t="s">
        <v>202</v>
      </c>
      <c r="I36" t="s">
        <v>203</v>
      </c>
      <c r="J36" t="s">
        <v>204</v>
      </c>
      <c r="K36" t="s">
        <v>698</v>
      </c>
      <c r="L36" t="s">
        <v>1031</v>
      </c>
      <c r="M36" t="str">
        <f t="shared" si="0"/>
        <v>, ('Projection','courses','QActivity','','ActivityIdentifier','Feature','Learning','Activities','Activity','activities','{activity:guid}','C65F8B67-4D96-4564-A4B0-AE103370371F')</v>
      </c>
    </row>
    <row r="37" spans="1:13" x14ac:dyDescent="0.25">
      <c r="A37" t="s">
        <v>3</v>
      </c>
      <c r="B37" t="s">
        <v>205</v>
      </c>
      <c r="C37" t="s">
        <v>1163</v>
      </c>
      <c r="E37" t="s">
        <v>1184</v>
      </c>
      <c r="F37" t="s">
        <v>1213</v>
      </c>
      <c r="G37" t="s">
        <v>201</v>
      </c>
      <c r="H37" t="s">
        <v>202</v>
      </c>
      <c r="I37" t="s">
        <v>206</v>
      </c>
      <c r="J37" t="s">
        <v>207</v>
      </c>
      <c r="K37" t="s">
        <v>208</v>
      </c>
      <c r="L37" t="s">
        <v>1032</v>
      </c>
      <c r="M37" t="str">
        <f t="shared" si="0"/>
        <v>, ('Projection','courses','QActivityCompetency','','ActivityIdentifier,CompetencyStandardIdentifier','Feature','Learning','Activities','ActivityCompetency','activities-competencies','{activity:guid}/{competency:guid}','05A63B0E-1674-4BE3-9090-6AA8C6666F19')</v>
      </c>
    </row>
    <row r="38" spans="1:13" x14ac:dyDescent="0.25">
      <c r="A38" t="s">
        <v>3</v>
      </c>
      <c r="B38" t="s">
        <v>205</v>
      </c>
      <c r="C38" t="s">
        <v>1164</v>
      </c>
      <c r="E38" t="s">
        <v>211</v>
      </c>
      <c r="F38" t="s">
        <v>1213</v>
      </c>
      <c r="G38" t="s">
        <v>201</v>
      </c>
      <c r="H38" t="s">
        <v>209</v>
      </c>
      <c r="I38" t="s">
        <v>210</v>
      </c>
      <c r="J38" t="s">
        <v>205</v>
      </c>
      <c r="K38" t="s">
        <v>1033</v>
      </c>
      <c r="L38" t="s">
        <v>1034</v>
      </c>
      <c r="M38" t="str">
        <f t="shared" si="0"/>
        <v>, ('Projection','courses','QCourse','','CourseIdentifier','Feature','Learning','Courses','Course','courses','{course:guid}','8B1DA0C6-BEC0-4959-8849-E5C4494CCC53')</v>
      </c>
    </row>
    <row r="39" spans="1:13" x14ac:dyDescent="0.25">
      <c r="A39" t="s">
        <v>3</v>
      </c>
      <c r="B39" t="s">
        <v>205</v>
      </c>
      <c r="C39" t="s">
        <v>1165</v>
      </c>
      <c r="E39" t="s">
        <v>1185</v>
      </c>
      <c r="F39" t="s">
        <v>1213</v>
      </c>
      <c r="G39" t="s">
        <v>201</v>
      </c>
      <c r="H39" t="s">
        <v>212</v>
      </c>
      <c r="I39" t="s">
        <v>213</v>
      </c>
      <c r="J39" t="s">
        <v>214</v>
      </c>
      <c r="K39" t="s">
        <v>729</v>
      </c>
      <c r="L39" t="s">
        <v>1035</v>
      </c>
      <c r="M39" t="str">
        <f t="shared" si="0"/>
        <v>, ('Projection','courses','QCourseEnrollment','','CourseEnrollmentIdentifier','Feature','Learning','Enrollments','CourseEnrollment','courses-enrollments','{enrollment:guid}','0370EDEB-4313-46FE-B1FD-6C98EFC0324A')</v>
      </c>
    </row>
    <row r="40" spans="1:13" x14ac:dyDescent="0.25">
      <c r="A40" t="s">
        <v>3</v>
      </c>
      <c r="B40" t="s">
        <v>205</v>
      </c>
      <c r="C40" t="s">
        <v>1168</v>
      </c>
      <c r="E40" t="s">
        <v>1169</v>
      </c>
      <c r="F40" t="s">
        <v>1213</v>
      </c>
      <c r="G40" t="s">
        <v>201</v>
      </c>
      <c r="H40" t="s">
        <v>250</v>
      </c>
      <c r="I40" t="s">
        <v>1180</v>
      </c>
      <c r="J40" t="s">
        <v>1177</v>
      </c>
      <c r="K40" t="s">
        <v>733</v>
      </c>
      <c r="L40" t="s">
        <v>1170</v>
      </c>
      <c r="M40" t="str">
        <f t="shared" si="0"/>
        <v>, ('Projection','courses','QCoursePrerequisite','','CoursePrerequisiteIdentifier','Feature','Learning','Prerequisites','CoursePrerequisite','courses-prerequisites','{prerequisite:guid}','9AF90214-348C-42FC-8B82-9975A50D2597')</v>
      </c>
    </row>
    <row r="41" spans="1:13" x14ac:dyDescent="0.25">
      <c r="A41" t="s">
        <v>3</v>
      </c>
      <c r="B41" t="s">
        <v>205</v>
      </c>
      <c r="C41" t="s">
        <v>1166</v>
      </c>
      <c r="E41" t="s">
        <v>249</v>
      </c>
      <c r="F41" t="s">
        <v>1213</v>
      </c>
      <c r="G41" t="s">
        <v>201</v>
      </c>
      <c r="H41" t="s">
        <v>246</v>
      </c>
      <c r="I41" t="s">
        <v>247</v>
      </c>
      <c r="J41" t="s">
        <v>248</v>
      </c>
      <c r="K41" t="s">
        <v>1037</v>
      </c>
      <c r="L41" t="s">
        <v>1038</v>
      </c>
      <c r="M41" t="str">
        <f t="shared" si="0"/>
        <v>, ('Projection','courses','QModule','','ModuleIdentifier','Feature','Learning','Modules','Module','modules','{module:guid}','65260033-CE62-4C8B-9596-7736D06929AC')</v>
      </c>
    </row>
    <row r="42" spans="1:13" x14ac:dyDescent="0.25">
      <c r="A42" t="s">
        <v>3</v>
      </c>
      <c r="B42" t="s">
        <v>205</v>
      </c>
      <c r="C42" t="s">
        <v>1167</v>
      </c>
      <c r="E42" t="s">
        <v>274</v>
      </c>
      <c r="F42" t="s">
        <v>1213</v>
      </c>
      <c r="G42" t="s">
        <v>201</v>
      </c>
      <c r="H42" t="s">
        <v>271</v>
      </c>
      <c r="I42" t="s">
        <v>272</v>
      </c>
      <c r="J42" t="s">
        <v>273</v>
      </c>
      <c r="K42" t="s">
        <v>1039</v>
      </c>
      <c r="L42" t="s">
        <v>1040</v>
      </c>
      <c r="M42" t="str">
        <f t="shared" si="0"/>
        <v>, ('Projection','courses','QUnit','','UnitIdentifier','Feature','Learning','Units','Unit','units','{unit:guid}','636300A8-DAC2-4644-88C1-4FEC223496D5')</v>
      </c>
    </row>
    <row r="43" spans="1:13" x14ac:dyDescent="0.25">
      <c r="A43" t="s">
        <v>3</v>
      </c>
      <c r="B43" t="s">
        <v>538</v>
      </c>
      <c r="C43" t="s">
        <v>539</v>
      </c>
      <c r="E43" t="s">
        <v>540</v>
      </c>
      <c r="F43" t="s">
        <v>535</v>
      </c>
      <c r="G43" t="s">
        <v>1229</v>
      </c>
      <c r="H43" t="s">
        <v>536</v>
      </c>
      <c r="I43" t="s">
        <v>537</v>
      </c>
      <c r="J43" t="s">
        <v>745</v>
      </c>
      <c r="K43" t="s">
        <v>722</v>
      </c>
      <c r="L43" t="s">
        <v>895</v>
      </c>
      <c r="M43" t="str">
        <f t="shared" si="0"/>
        <v>, ('Projection','custom_cmds','QCmdsInvoice','','InvoiceKey','Plugin','Variant','CMDS','CmdsInvoice','cmds-invoices','{invoice:guid}','0701EB13-63EE-4599-BF51-107C634981C1')</v>
      </c>
    </row>
    <row r="44" spans="1:13" x14ac:dyDescent="0.25">
      <c r="A44" t="s">
        <v>3</v>
      </c>
      <c r="B44" t="s">
        <v>538</v>
      </c>
      <c r="C44" t="s">
        <v>542</v>
      </c>
      <c r="E44" t="s">
        <v>543</v>
      </c>
      <c r="F44" t="s">
        <v>535</v>
      </c>
      <c r="G44" t="s">
        <v>1229</v>
      </c>
      <c r="H44" t="s">
        <v>536</v>
      </c>
      <c r="I44" t="s">
        <v>541</v>
      </c>
      <c r="J44" t="s">
        <v>746</v>
      </c>
      <c r="K44" t="s">
        <v>721</v>
      </c>
      <c r="L44" t="s">
        <v>896</v>
      </c>
      <c r="M44" t="str">
        <f t="shared" si="0"/>
        <v>, ('Projection','custom_cmds','QCmdsInvoiceFee','','InvoiceFeeKey','Plugin','Variant','CMDS','CmdsInvoiceFee','cmds-invoices-fees','{fee:guid}','79E16D5C-5BA2-426B-B473-4FF755A5F36F')</v>
      </c>
    </row>
    <row r="45" spans="1:13" x14ac:dyDescent="0.25">
      <c r="A45" t="s">
        <v>3</v>
      </c>
      <c r="B45" t="s">
        <v>538</v>
      </c>
      <c r="C45" t="s">
        <v>545</v>
      </c>
      <c r="E45" t="s">
        <v>546</v>
      </c>
      <c r="F45" t="s">
        <v>535</v>
      </c>
      <c r="G45" t="s">
        <v>1229</v>
      </c>
      <c r="H45" t="s">
        <v>536</v>
      </c>
      <c r="I45" t="s">
        <v>544</v>
      </c>
      <c r="J45" t="s">
        <v>747</v>
      </c>
      <c r="K45" t="s">
        <v>692</v>
      </c>
      <c r="L45" t="s">
        <v>897</v>
      </c>
      <c r="M45" t="str">
        <f t="shared" si="0"/>
        <v>, ('Projection','custom_cmds','QCmdsInvoiceItem','','InvoiceItemKey','Plugin','Variant','CMDS','CmdsInvoiceItem','cmds-invoices-items','{item:guid}','94F3F705-721C-4F81-8155-868D34E62C79')</v>
      </c>
    </row>
    <row r="46" spans="1:13" x14ac:dyDescent="0.25">
      <c r="A46" t="s">
        <v>3</v>
      </c>
      <c r="B46" t="s">
        <v>538</v>
      </c>
      <c r="C46" t="s">
        <v>562</v>
      </c>
      <c r="D46" t="s">
        <v>898</v>
      </c>
      <c r="E46" t="s">
        <v>563</v>
      </c>
      <c r="F46" t="s">
        <v>535</v>
      </c>
      <c r="G46" t="s">
        <v>1229</v>
      </c>
      <c r="H46" t="s">
        <v>536</v>
      </c>
      <c r="I46" t="s">
        <v>560</v>
      </c>
      <c r="J46" t="s">
        <v>561</v>
      </c>
      <c r="K46" t="s">
        <v>717</v>
      </c>
      <c r="L46" t="s">
        <v>899</v>
      </c>
      <c r="M46" t="str">
        <f t="shared" si="0"/>
        <v>, ('Projection','custom_cmds','QUserStatus','QLearnerSummary','UserStatusKey','Plugin','Variant','CMDS','LearnerSummary','learners-summaries','{summary:guid}','42DC0289-03C4-4637-A643-C7FA69B988FB')</v>
      </c>
    </row>
    <row r="47" spans="1:13" x14ac:dyDescent="0.25">
      <c r="A47" t="s">
        <v>3</v>
      </c>
      <c r="B47" t="s">
        <v>390</v>
      </c>
      <c r="C47" t="s">
        <v>391</v>
      </c>
      <c r="E47" t="s">
        <v>392</v>
      </c>
      <c r="F47" t="s">
        <v>1213</v>
      </c>
      <c r="G47" t="s">
        <v>1230</v>
      </c>
      <c r="H47" t="s">
        <v>736</v>
      </c>
      <c r="I47" t="s">
        <v>618</v>
      </c>
      <c r="J47" t="s">
        <v>390</v>
      </c>
      <c r="K47" t="s">
        <v>832</v>
      </c>
      <c r="L47" t="s">
        <v>900</v>
      </c>
      <c r="M47" t="str">
        <f t="shared" si="0"/>
        <v>, ('Projection','events','QEvent','','EventIdentifier','Feature','Booking','Events','Event','events','{event:guid}','55EC0B1A-EF09-46A3-AE14-835BBDBDBD36')</v>
      </c>
    </row>
    <row r="48" spans="1:13" x14ac:dyDescent="0.25">
      <c r="A48" t="s">
        <v>3</v>
      </c>
      <c r="B48" t="s">
        <v>390</v>
      </c>
      <c r="C48" t="s">
        <v>394</v>
      </c>
      <c r="D48" t="s">
        <v>1231</v>
      </c>
      <c r="E48" t="s">
        <v>395</v>
      </c>
      <c r="F48" t="s">
        <v>1213</v>
      </c>
      <c r="G48" t="s">
        <v>1230</v>
      </c>
      <c r="H48" t="s">
        <v>736</v>
      </c>
      <c r="I48" t="s">
        <v>1232</v>
      </c>
      <c r="J48" t="s">
        <v>1233</v>
      </c>
      <c r="K48" t="s">
        <v>393</v>
      </c>
      <c r="L48" t="s">
        <v>901</v>
      </c>
      <c r="M48" t="str">
        <f t="shared" si="0"/>
        <v>, ('Projection','events','QEventAssessmentForm','QEventForm','EventIdentifier,FormIdentifier','Feature','Booking','Events','EventForm','events-forms','{event:guid}/{form:guid}','2A68C6FE-AEBC-4052-8830-089DBA1E9050')</v>
      </c>
    </row>
    <row r="49" spans="1:13" x14ac:dyDescent="0.25">
      <c r="A49" t="s">
        <v>3</v>
      </c>
      <c r="B49" t="s">
        <v>390</v>
      </c>
      <c r="C49" t="s">
        <v>401</v>
      </c>
      <c r="D49" t="s">
        <v>1201</v>
      </c>
      <c r="E49" t="s">
        <v>402</v>
      </c>
      <c r="F49" t="s">
        <v>1213</v>
      </c>
      <c r="G49" t="s">
        <v>1230</v>
      </c>
      <c r="H49" t="s">
        <v>736</v>
      </c>
      <c r="I49" t="s">
        <v>1197</v>
      </c>
      <c r="J49" t="s">
        <v>1194</v>
      </c>
      <c r="K49" t="s">
        <v>400</v>
      </c>
      <c r="L49" t="s">
        <v>902</v>
      </c>
      <c r="M49" t="str">
        <f t="shared" si="0"/>
        <v>, ('Projection','events','QEventAttendee','QEventUser','EventIdentifier,UserIdentifier','Feature','Booking','Events','EventUser','events-users','{event:guid}/{user:guid}','31647B60-101E-4A56-8605-796739FDE98B')</v>
      </c>
    </row>
    <row r="50" spans="1:13" x14ac:dyDescent="0.25">
      <c r="A50" t="s">
        <v>3</v>
      </c>
      <c r="B50" t="s">
        <v>390</v>
      </c>
      <c r="C50" t="s">
        <v>398</v>
      </c>
      <c r="E50" t="s">
        <v>399</v>
      </c>
      <c r="F50" t="s">
        <v>1213</v>
      </c>
      <c r="G50" t="s">
        <v>1230</v>
      </c>
      <c r="H50" t="s">
        <v>736</v>
      </c>
      <c r="I50" t="s">
        <v>1198</v>
      </c>
      <c r="J50" t="s">
        <v>1195</v>
      </c>
      <c r="K50" t="s">
        <v>723</v>
      </c>
      <c r="L50" t="s">
        <v>903</v>
      </c>
      <c r="M50" t="str">
        <f t="shared" si="0"/>
        <v>, ('Projection','events','QEventTimer','','TriggerCommand','Feature','Booking','Events','EventTimer','events-timers','{timer:guid}','DEE4217C-8AB7-44F8-B49E-DA599DDC73E5')</v>
      </c>
    </row>
    <row r="51" spans="1:13" x14ac:dyDescent="0.25">
      <c r="A51" t="s">
        <v>3</v>
      </c>
      <c r="B51" t="s">
        <v>390</v>
      </c>
      <c r="C51" t="s">
        <v>396</v>
      </c>
      <c r="D51" t="s">
        <v>1200</v>
      </c>
      <c r="E51" t="s">
        <v>397</v>
      </c>
      <c r="F51" t="s">
        <v>1213</v>
      </c>
      <c r="G51" t="s">
        <v>1230</v>
      </c>
      <c r="H51" t="s">
        <v>736</v>
      </c>
      <c r="I51" t="s">
        <v>1199</v>
      </c>
      <c r="J51" t="s">
        <v>1196</v>
      </c>
      <c r="K51" t="s">
        <v>725</v>
      </c>
      <c r="L51" t="s">
        <v>904</v>
      </c>
      <c r="M51" t="str">
        <f t="shared" si="0"/>
        <v>, ('Projection','events','QSeat','QEventSeat','SeatIdentifier','Feature','Booking','Events','EventSeat','events-seats','{seat:guid}','4B0A9FE0-40E3-422F-8DEA-4C4B3E9351C7')</v>
      </c>
    </row>
    <row r="52" spans="1:13" x14ac:dyDescent="0.25">
      <c r="A52" t="s">
        <v>3</v>
      </c>
      <c r="B52" t="s">
        <v>89</v>
      </c>
      <c r="C52" t="s">
        <v>664</v>
      </c>
      <c r="E52" t="s">
        <v>665</v>
      </c>
      <c r="F52" t="s">
        <v>687</v>
      </c>
      <c r="G52" t="s">
        <v>638</v>
      </c>
      <c r="H52" t="s">
        <v>744</v>
      </c>
      <c r="I52" t="s">
        <v>662</v>
      </c>
      <c r="J52" t="s">
        <v>663</v>
      </c>
      <c r="K52" t="s">
        <v>905</v>
      </c>
      <c r="L52" t="s">
        <v>906</v>
      </c>
      <c r="M52" t="str">
        <f t="shared" si="0"/>
        <v>, ('Projection','identities','QUser','','UserIdentifier','Utility','Security','Users','User','users','{user:guid}','4AE03707-E10B-4692-8603-1C59ACF96C8F')</v>
      </c>
    </row>
    <row r="53" spans="1:13" x14ac:dyDescent="0.25">
      <c r="A53" t="s">
        <v>3</v>
      </c>
      <c r="B53" t="s">
        <v>89</v>
      </c>
      <c r="C53" t="s">
        <v>755</v>
      </c>
      <c r="E53" t="s">
        <v>668</v>
      </c>
      <c r="F53" t="s">
        <v>687</v>
      </c>
      <c r="G53" t="s">
        <v>638</v>
      </c>
      <c r="H53" t="s">
        <v>744</v>
      </c>
      <c r="I53" t="s">
        <v>666</v>
      </c>
      <c r="J53" t="s">
        <v>667</v>
      </c>
      <c r="K53" t="s">
        <v>439</v>
      </c>
      <c r="L53" t="s">
        <v>1073</v>
      </c>
      <c r="M53" t="str">
        <f t="shared" si="0"/>
        <v>, ('Projection','identities','QUserConnection','','FromUserIdentifier,ToUserIdentifier','Utility','Security','Users','UserConnection','users-connections','{from:guid}/{to:guid}','4EFB3542-30D5-492C-B200-FA236668C008')</v>
      </c>
    </row>
    <row r="54" spans="1:13" x14ac:dyDescent="0.25">
      <c r="A54" t="s">
        <v>3</v>
      </c>
      <c r="B54" t="s">
        <v>63</v>
      </c>
      <c r="C54" t="s">
        <v>64</v>
      </c>
      <c r="E54" t="s">
        <v>65</v>
      </c>
      <c r="F54" t="s">
        <v>1213</v>
      </c>
      <c r="G54" t="s">
        <v>53</v>
      </c>
      <c r="H54" t="s">
        <v>61</v>
      </c>
      <c r="I54" t="s">
        <v>62</v>
      </c>
      <c r="J54" t="s">
        <v>63</v>
      </c>
      <c r="K54" t="s">
        <v>722</v>
      </c>
      <c r="L54" t="s">
        <v>907</v>
      </c>
      <c r="M54" t="str">
        <f t="shared" si="0"/>
        <v>, ('Projection','invoices','QInvoice','','InvoiceIdentifier','Feature','Billing','Invoices','Invoice','invoices','{invoice:guid}','607A39E8-9C7F-44E0-92D3-C7DE0A8B62E5')</v>
      </c>
    </row>
    <row r="55" spans="1:13" x14ac:dyDescent="0.25">
      <c r="A55" t="s">
        <v>3</v>
      </c>
      <c r="B55" t="s">
        <v>63</v>
      </c>
      <c r="C55" t="s">
        <v>68</v>
      </c>
      <c r="E55" t="s">
        <v>69</v>
      </c>
      <c r="F55" t="s">
        <v>1213</v>
      </c>
      <c r="G55" t="s">
        <v>53</v>
      </c>
      <c r="H55" t="s">
        <v>61</v>
      </c>
      <c r="I55" t="s">
        <v>66</v>
      </c>
      <c r="J55" t="s">
        <v>67</v>
      </c>
      <c r="K55" t="s">
        <v>692</v>
      </c>
      <c r="L55" t="s">
        <v>908</v>
      </c>
      <c r="M55" t="str">
        <f t="shared" si="0"/>
        <v>, ('Projection','invoices','QInvoiceItem','','ItemIdentifier','Feature','Billing','Invoices','InvoiceItem','invoices-items','{item:guid}','86A811F8-D073-4AC6-BF7E-16A75BE2DA6B')</v>
      </c>
    </row>
    <row r="56" spans="1:13" x14ac:dyDescent="0.25">
      <c r="A56" t="s">
        <v>3</v>
      </c>
      <c r="B56" t="s">
        <v>514</v>
      </c>
      <c r="C56" t="s">
        <v>515</v>
      </c>
      <c r="D56" t="s">
        <v>909</v>
      </c>
      <c r="E56" t="s">
        <v>516</v>
      </c>
      <c r="F56" t="s">
        <v>1213</v>
      </c>
      <c r="G56" t="s">
        <v>510</v>
      </c>
      <c r="H56" t="s">
        <v>511</v>
      </c>
      <c r="I56" t="s">
        <v>512</v>
      </c>
      <c r="J56" t="s">
        <v>513</v>
      </c>
      <c r="K56" t="s">
        <v>910</v>
      </c>
      <c r="L56" t="s">
        <v>911</v>
      </c>
      <c r="M56" t="str">
        <f t="shared" si="0"/>
        <v>, ('Projection','issues','QIssue','QCase','IssueIdentifier','Feature','Workflow','Cases','Case','cases','{case:guid}','5582D250-AA5D-479A-8E13-DDF1A5BE0E82')</v>
      </c>
    </row>
    <row r="57" spans="1:13" x14ac:dyDescent="0.25">
      <c r="A57" t="s">
        <v>3</v>
      </c>
      <c r="B57" t="s">
        <v>514</v>
      </c>
      <c r="C57" t="s">
        <v>519</v>
      </c>
      <c r="D57" t="s">
        <v>912</v>
      </c>
      <c r="E57" t="s">
        <v>520</v>
      </c>
      <c r="F57" t="s">
        <v>1213</v>
      </c>
      <c r="G57" t="s">
        <v>510</v>
      </c>
      <c r="H57" t="s">
        <v>511</v>
      </c>
      <c r="I57" t="s">
        <v>517</v>
      </c>
      <c r="J57" t="s">
        <v>518</v>
      </c>
      <c r="K57" t="s">
        <v>704</v>
      </c>
      <c r="L57" t="s">
        <v>913</v>
      </c>
      <c r="M57" t="str">
        <f t="shared" si="0"/>
        <v>, ('Projection','issues','QIssueAttachment','QCaseFile','AttachmentIdentifier','Feature','Workflow','Cases','CaseFile','cases-files','{file:guid}','BACE478F-BF1F-4647-82FB-CD236E72CE7E')</v>
      </c>
    </row>
    <row r="58" spans="1:13" x14ac:dyDescent="0.25">
      <c r="A58" t="s">
        <v>3</v>
      </c>
      <c r="B58" t="s">
        <v>514</v>
      </c>
      <c r="C58" t="s">
        <v>523</v>
      </c>
      <c r="D58" t="s">
        <v>914</v>
      </c>
      <c r="E58" t="s">
        <v>524</v>
      </c>
      <c r="F58" t="s">
        <v>1213</v>
      </c>
      <c r="G58" t="s">
        <v>510</v>
      </c>
      <c r="H58" t="s">
        <v>511</v>
      </c>
      <c r="I58" t="s">
        <v>521</v>
      </c>
      <c r="J58" t="s">
        <v>522</v>
      </c>
      <c r="K58" t="s">
        <v>711</v>
      </c>
      <c r="L58" t="s">
        <v>915</v>
      </c>
      <c r="M58" t="str">
        <f t="shared" si="0"/>
        <v>, ('Projection','issues','QIssueFileRequirement','QCaseFileRequirement','IssueIdentifier,RequestedFileCategory','Feature','Workflow','Cases','CaseFileRequirement','cases-files-requirements','{relationship:guid}','F8850515-0755-4E37-9834-88C7F55E7F89')</v>
      </c>
    </row>
    <row r="59" spans="1:13" x14ac:dyDescent="0.25">
      <c r="A59" t="s">
        <v>3</v>
      </c>
      <c r="B59" t="s">
        <v>514</v>
      </c>
      <c r="C59" t="s">
        <v>527</v>
      </c>
      <c r="D59" t="s">
        <v>916</v>
      </c>
      <c r="E59" t="s">
        <v>302</v>
      </c>
      <c r="F59" t="s">
        <v>1213</v>
      </c>
      <c r="G59" t="s">
        <v>510</v>
      </c>
      <c r="H59" t="s">
        <v>511</v>
      </c>
      <c r="I59" t="s">
        <v>525</v>
      </c>
      <c r="J59" t="s">
        <v>526</v>
      </c>
      <c r="K59" t="s">
        <v>711</v>
      </c>
      <c r="L59" t="s">
        <v>917</v>
      </c>
      <c r="M59" t="str">
        <f t="shared" si="0"/>
        <v>, ('Projection','issues','QIssueGroup','QCaseGroup','JoinIdentifier','Feature','Workflow','Cases','CaseGroup','cases-groups','{relationship:guid}','C8F05B62-B286-47A4-8183-2F1325F728B1')</v>
      </c>
    </row>
    <row r="60" spans="1:13" x14ac:dyDescent="0.25">
      <c r="A60" t="s">
        <v>3</v>
      </c>
      <c r="B60" t="s">
        <v>514</v>
      </c>
      <c r="C60" t="s">
        <v>534</v>
      </c>
      <c r="D60" t="s">
        <v>918</v>
      </c>
      <c r="E60" t="s">
        <v>302</v>
      </c>
      <c r="F60" t="s">
        <v>1213</v>
      </c>
      <c r="G60" t="s">
        <v>510</v>
      </c>
      <c r="H60" t="s">
        <v>511</v>
      </c>
      <c r="I60" t="s">
        <v>532</v>
      </c>
      <c r="J60" t="s">
        <v>533</v>
      </c>
      <c r="K60" t="s">
        <v>711</v>
      </c>
      <c r="L60" t="s">
        <v>919</v>
      </c>
      <c r="M60" t="str">
        <f t="shared" si="0"/>
        <v>, ('Projection','issues','QIssueUser','QCaseUser','JoinIdentifier','Feature','Workflow','Cases','CaseUser','cases-users','{relationship:guid}','7125E03D-0927-4BB6-81ED-61C4EEB10428')</v>
      </c>
    </row>
    <row r="61" spans="1:13" x14ac:dyDescent="0.25">
      <c r="A61" t="s">
        <v>3</v>
      </c>
      <c r="B61" t="s">
        <v>284</v>
      </c>
      <c r="C61" t="s">
        <v>285</v>
      </c>
      <c r="D61" t="s">
        <v>920</v>
      </c>
      <c r="E61" t="s">
        <v>286</v>
      </c>
      <c r="F61" t="s">
        <v>1213</v>
      </c>
      <c r="G61" t="s">
        <v>1220</v>
      </c>
      <c r="H61" t="s">
        <v>276</v>
      </c>
      <c r="I61" t="s">
        <v>282</v>
      </c>
      <c r="J61" t="s">
        <v>283</v>
      </c>
      <c r="K61" t="s">
        <v>732</v>
      </c>
      <c r="L61" t="s">
        <v>921</v>
      </c>
      <c r="M61" t="str">
        <f t="shared" si="0"/>
        <v>, ('Projection','messages','QClick','QMailoutClick','ClickIdentifier','Feature','Messaging','Mailouts','MailoutClick','mailouts-clicks','{click:guid}','CB16858F-2725-491F-9D8B-B39427BDAC6E')</v>
      </c>
    </row>
    <row r="62" spans="1:13" x14ac:dyDescent="0.25">
      <c r="A62" t="s">
        <v>3</v>
      </c>
      <c r="B62" t="s">
        <v>284</v>
      </c>
      <c r="C62" t="s">
        <v>301</v>
      </c>
      <c r="D62" t="s">
        <v>922</v>
      </c>
      <c r="E62" t="s">
        <v>302</v>
      </c>
      <c r="F62" t="s">
        <v>1213</v>
      </c>
      <c r="G62" t="s">
        <v>1220</v>
      </c>
      <c r="H62" t="s">
        <v>298</v>
      </c>
      <c r="I62" t="s">
        <v>299</v>
      </c>
      <c r="J62" t="s">
        <v>300</v>
      </c>
      <c r="K62" t="s">
        <v>711</v>
      </c>
      <c r="L62" t="s">
        <v>923</v>
      </c>
      <c r="M62" t="str">
        <f t="shared" si="0"/>
        <v>, ('Projection','messages','QFollower','QSubscriberFollower','JoinIdentifier','Feature','Messaging','Subscribers','SubscriberFollower','subscribers-followers','{relationship:guid}','A55665D2-11C9-4D39-9C76-EE9D2FBA6BFD')</v>
      </c>
    </row>
    <row r="63" spans="1:13" x14ac:dyDescent="0.25">
      <c r="A63" t="s">
        <v>3</v>
      </c>
      <c r="B63" t="s">
        <v>284</v>
      </c>
      <c r="C63" t="s">
        <v>296</v>
      </c>
      <c r="D63" t="s">
        <v>924</v>
      </c>
      <c r="E63" t="s">
        <v>297</v>
      </c>
      <c r="F63" t="s">
        <v>1213</v>
      </c>
      <c r="G63" t="s">
        <v>1220</v>
      </c>
      <c r="H63" t="s">
        <v>291</v>
      </c>
      <c r="I63" t="s">
        <v>294</v>
      </c>
      <c r="J63" t="s">
        <v>295</v>
      </c>
      <c r="K63" t="s">
        <v>730</v>
      </c>
      <c r="L63" t="s">
        <v>925</v>
      </c>
      <c r="M63" t="str">
        <f t="shared" si="0"/>
        <v>, ('Projection','messages','QLink','QMessageLink','LinkIdentifier','Feature','Messaging','Messages','MessageLink','messages-links','{link:guid}','28F3A514-8EC3-4897-9905-FAE18E6ABA8F')</v>
      </c>
    </row>
    <row r="64" spans="1:13" x14ac:dyDescent="0.25">
      <c r="A64" t="s">
        <v>3</v>
      </c>
      <c r="B64" t="s">
        <v>284</v>
      </c>
      <c r="C64" t="s">
        <v>292</v>
      </c>
      <c r="E64" t="s">
        <v>293</v>
      </c>
      <c r="F64" t="s">
        <v>1213</v>
      </c>
      <c r="G64" t="s">
        <v>1220</v>
      </c>
      <c r="H64" t="s">
        <v>291</v>
      </c>
      <c r="I64" t="s">
        <v>275</v>
      </c>
      <c r="J64" t="s">
        <v>284</v>
      </c>
      <c r="K64" t="s">
        <v>926</v>
      </c>
      <c r="L64" t="s">
        <v>927</v>
      </c>
      <c r="M64" t="str">
        <f t="shared" si="0"/>
        <v>, ('Projection','messages','QMessage','','MessageIdentifier','Feature','Messaging','Messages','Message','messages','{message:guid}','A77AE75F-EC65-4504-B623-BA26D9AB594B')</v>
      </c>
    </row>
    <row r="65" spans="1:13" x14ac:dyDescent="0.25">
      <c r="A65" t="s">
        <v>3</v>
      </c>
      <c r="B65" t="s">
        <v>284</v>
      </c>
      <c r="C65" t="s">
        <v>306</v>
      </c>
      <c r="E65" t="s">
        <v>307</v>
      </c>
      <c r="F65" t="s">
        <v>1213</v>
      </c>
      <c r="G65" t="s">
        <v>1220</v>
      </c>
      <c r="H65" t="s">
        <v>298</v>
      </c>
      <c r="I65" t="s">
        <v>303</v>
      </c>
      <c r="J65" t="s">
        <v>304</v>
      </c>
      <c r="K65" t="s">
        <v>305</v>
      </c>
      <c r="L65" t="s">
        <v>928</v>
      </c>
      <c r="M65" t="str">
        <f t="shared" si="0"/>
        <v>, ('Projection','messages','QSubscriberGroup','','GroupIdentifier,MessageIdentifier','Feature','Messaging','Subscribers','SubscriberGroup','subscribers-groups','{message:guid}/{group:guid}','E0B2C092-1C3D-4921-AEFB-2CCFF832CFD5')</v>
      </c>
    </row>
    <row r="66" spans="1:13" x14ac:dyDescent="0.25">
      <c r="A66" t="s">
        <v>3</v>
      </c>
      <c r="B66" t="s">
        <v>284</v>
      </c>
      <c r="C66" t="s">
        <v>311</v>
      </c>
      <c r="E66" t="s">
        <v>312</v>
      </c>
      <c r="F66" t="s">
        <v>1213</v>
      </c>
      <c r="G66" t="s">
        <v>1220</v>
      </c>
      <c r="H66" t="s">
        <v>298</v>
      </c>
      <c r="I66" t="s">
        <v>308</v>
      </c>
      <c r="J66" t="s">
        <v>309</v>
      </c>
      <c r="K66" t="s">
        <v>310</v>
      </c>
      <c r="L66" t="s">
        <v>929</v>
      </c>
      <c r="M66" t="str">
        <f t="shared" ref="M66:M129" si="1">", ('" &amp; A66 &amp; "','" &amp; B66 &amp; "','" &amp; C66 &amp; "','" &amp; D66 &amp; "','" &amp; E66 &amp; "','" &amp; F66 &amp; "','" &amp; G66 &amp; "','" &amp; H66 &amp; "','" &amp; I66 &amp; "','" &amp; J66 &amp; "','" &amp; K66 &amp; "','" &amp; L66 &amp; "')"</f>
        <v>, ('Projection','messages','QSubscriberUser','','MessageIdentifier,UserIdentifier','Feature','Messaging','Subscribers','SubscriberUser','subscribers-users','{message:guid}/{user:guid}','850F0FCE-8E3D-42F8-AB26-30B2C80EEE15')</v>
      </c>
    </row>
    <row r="67" spans="1:13" x14ac:dyDescent="0.25">
      <c r="A67" t="s">
        <v>3</v>
      </c>
      <c r="B67" t="s">
        <v>58</v>
      </c>
      <c r="C67" t="s">
        <v>72</v>
      </c>
      <c r="E67" t="s">
        <v>73</v>
      </c>
      <c r="F67" t="s">
        <v>1213</v>
      </c>
      <c r="G67" t="s">
        <v>53</v>
      </c>
      <c r="H67" t="s">
        <v>70</v>
      </c>
      <c r="I67" t="s">
        <v>71</v>
      </c>
      <c r="J67" t="s">
        <v>58</v>
      </c>
      <c r="K67" t="s">
        <v>930</v>
      </c>
      <c r="L67" t="s">
        <v>931</v>
      </c>
      <c r="M67" t="str">
        <f t="shared" si="1"/>
        <v>, ('Projection','payments','QPayment','','PaymentIdentifier','Feature','Billing','Payments','Payment','payments','{payment:guid}','D08D6E95-4D53-42FF-9A57-52FAA525D9E9')</v>
      </c>
    </row>
    <row r="68" spans="1:13" x14ac:dyDescent="0.25">
      <c r="A68" t="s">
        <v>3</v>
      </c>
      <c r="B68" t="s">
        <v>219</v>
      </c>
      <c r="C68" t="s">
        <v>255</v>
      </c>
      <c r="E68" t="s">
        <v>254</v>
      </c>
      <c r="F68" t="s">
        <v>1213</v>
      </c>
      <c r="G68" t="s">
        <v>1214</v>
      </c>
      <c r="H68" t="s">
        <v>313</v>
      </c>
      <c r="I68" t="s">
        <v>1202</v>
      </c>
      <c r="J68" t="s">
        <v>1203</v>
      </c>
      <c r="K68" t="s">
        <v>733</v>
      </c>
      <c r="L68" t="s">
        <v>932</v>
      </c>
      <c r="M68" t="str">
        <f t="shared" si="1"/>
        <v>, ('Projection','records','QAchievementPrerequisite','','PrerequisiteIdentifier','Feature','Progress','Achievements','AchievementPrerequisite','achievements-prerequisites','{prerequisite:guid}','112DA002-78E7-475F-9253-7DDC06F22F4C')</v>
      </c>
    </row>
    <row r="69" spans="1:13" x14ac:dyDescent="0.25">
      <c r="A69" t="s">
        <v>3</v>
      </c>
      <c r="B69" t="s">
        <v>219</v>
      </c>
      <c r="C69" t="s">
        <v>237</v>
      </c>
      <c r="D69" t="s">
        <v>933</v>
      </c>
      <c r="E69" t="s">
        <v>238</v>
      </c>
      <c r="F69" t="s">
        <v>1213</v>
      </c>
      <c r="G69" t="s">
        <v>1214</v>
      </c>
      <c r="H69" t="s">
        <v>815</v>
      </c>
      <c r="I69" t="s">
        <v>234</v>
      </c>
      <c r="J69" t="s">
        <v>235</v>
      </c>
      <c r="K69" t="s">
        <v>236</v>
      </c>
      <c r="L69" t="s">
        <v>934</v>
      </c>
      <c r="M69" t="str">
        <f t="shared" si="1"/>
        <v>, ('Projection','records','QCompetencyRequirement','QRegulationCompetency','CompetencyStandardIdentifier,JournalSetupIdentifier','Feature','Progress','Regulations','RegulationCompetency','regulations-competencies','{regulation:guid}/{competency:guid}','12176F46-0CF4-43D8-8309-A239A9F1A669')</v>
      </c>
    </row>
    <row r="70" spans="1:13" x14ac:dyDescent="0.25">
      <c r="A70" t="s">
        <v>3</v>
      </c>
      <c r="B70" t="s">
        <v>219</v>
      </c>
      <c r="C70" t="s">
        <v>341</v>
      </c>
      <c r="D70" t="s">
        <v>1234</v>
      </c>
      <c r="E70" t="s">
        <v>342</v>
      </c>
      <c r="F70" t="s">
        <v>1213</v>
      </c>
      <c r="G70" t="s">
        <v>1214</v>
      </c>
      <c r="H70" t="s">
        <v>335</v>
      </c>
      <c r="I70" t="s">
        <v>1235</v>
      </c>
      <c r="J70" t="s">
        <v>1236</v>
      </c>
      <c r="K70" t="s">
        <v>340</v>
      </c>
      <c r="L70" t="s">
        <v>935</v>
      </c>
      <c r="M70" t="str">
        <f t="shared" si="1"/>
        <v>, ('Projection','records','QCredentialHistory','QCredentialChange','AggregateIdentifier,AggregateVersion','Feature','Progress','Credentials','CredentialChange','credentials-changes','{aggregate:guid}/{version:int}','6365823E-4FD2-45BA-A95C-8327FB170722')</v>
      </c>
    </row>
    <row r="71" spans="1:13" x14ac:dyDescent="0.25">
      <c r="A71" t="s">
        <v>3</v>
      </c>
      <c r="B71" t="s">
        <v>219</v>
      </c>
      <c r="C71" t="s">
        <v>349</v>
      </c>
      <c r="D71" t="s">
        <v>936</v>
      </c>
      <c r="E71" t="s">
        <v>215</v>
      </c>
      <c r="F71" t="s">
        <v>1213</v>
      </c>
      <c r="G71" t="s">
        <v>1214</v>
      </c>
      <c r="H71" t="s">
        <v>1237</v>
      </c>
      <c r="I71" t="s">
        <v>347</v>
      </c>
      <c r="J71" t="s">
        <v>348</v>
      </c>
      <c r="K71" t="s">
        <v>729</v>
      </c>
      <c r="L71" t="s">
        <v>937</v>
      </c>
      <c r="M71" t="str">
        <f t="shared" si="1"/>
        <v>, ('Projection','records','QEnrollment','QGradebookEnrollment','EnrollmentIdentifier','Feature','Progress','Progressions','GradebookEnrollment','gradebooks-enrollments','{enrollment:guid}','726F1076-3D56-426D-A572-68FC8CCF6741')</v>
      </c>
    </row>
    <row r="72" spans="1:13" x14ac:dyDescent="0.25">
      <c r="A72" t="s">
        <v>3</v>
      </c>
      <c r="B72" t="s">
        <v>219</v>
      </c>
      <c r="C72" t="s">
        <v>346</v>
      </c>
      <c r="D72" t="s">
        <v>1238</v>
      </c>
      <c r="E72" t="s">
        <v>342</v>
      </c>
      <c r="F72" t="s">
        <v>1213</v>
      </c>
      <c r="G72" t="s">
        <v>1214</v>
      </c>
      <c r="H72" t="s">
        <v>1237</v>
      </c>
      <c r="I72" t="s">
        <v>1239</v>
      </c>
      <c r="J72" t="s">
        <v>1240</v>
      </c>
      <c r="K72" t="s">
        <v>340</v>
      </c>
      <c r="L72" t="s">
        <v>938</v>
      </c>
      <c r="M72" t="str">
        <f t="shared" si="1"/>
        <v>, ('Projection','records','QEnrollmentHistory','QEnrollmentChange','AggregateIdentifier,AggregateVersion','Feature','Progress','Progressions','EnrollmentChange','enrollments-changes','{aggregate:guid}/{version:int}','E2FAA3CF-8077-488F-B479-C2287CC2E1ED')</v>
      </c>
    </row>
    <row r="73" spans="1:13" x14ac:dyDescent="0.25">
      <c r="A73" t="s">
        <v>3</v>
      </c>
      <c r="B73" t="s">
        <v>219</v>
      </c>
      <c r="C73" t="s">
        <v>229</v>
      </c>
      <c r="D73" t="s">
        <v>939</v>
      </c>
      <c r="E73" t="s">
        <v>181</v>
      </c>
      <c r="F73" t="s">
        <v>1213</v>
      </c>
      <c r="G73" t="s">
        <v>1214</v>
      </c>
      <c r="H73" t="s">
        <v>216</v>
      </c>
      <c r="I73" t="s">
        <v>227</v>
      </c>
      <c r="J73" t="s">
        <v>228</v>
      </c>
      <c r="K73" t="s">
        <v>703</v>
      </c>
      <c r="L73" t="s">
        <v>940</v>
      </c>
      <c r="M73" t="str">
        <f t="shared" si="1"/>
        <v>, ('Projection','records','QExperience','QLogbookExperience','ExperienceIdentifier','Feature','Progress','Logbooks','LogbookExperience','logbooks-experiences','{experience:guid}','466AA06C-679E-42E3-82BD-18B93189A2D3')</v>
      </c>
    </row>
    <row r="74" spans="1:13" x14ac:dyDescent="0.25">
      <c r="A74" t="s">
        <v>3</v>
      </c>
      <c r="B74" t="s">
        <v>219</v>
      </c>
      <c r="C74" t="s">
        <v>225</v>
      </c>
      <c r="D74" t="s">
        <v>941</v>
      </c>
      <c r="E74" t="s">
        <v>226</v>
      </c>
      <c r="F74" t="s">
        <v>1213</v>
      </c>
      <c r="G74" t="s">
        <v>1214</v>
      </c>
      <c r="H74" t="s">
        <v>216</v>
      </c>
      <c r="I74" t="s">
        <v>222</v>
      </c>
      <c r="J74" t="s">
        <v>223</v>
      </c>
      <c r="K74" t="s">
        <v>224</v>
      </c>
      <c r="L74" s="2" t="s">
        <v>942</v>
      </c>
      <c r="M74" t="str">
        <f t="shared" si="1"/>
        <v>, ('Projection','records','QExperienceCompetency','QLogbookCompetency','CompetencyStandardIdentifier,ExperienceIdentifier','Feature','Progress','Logbooks','LogbookCompetency','logbooks-competencies','{logbook:guid}/{competency:guid}','1AEBC6F7-3FDC-47F9-A4E5-69B6B2A07BD6')</v>
      </c>
    </row>
    <row r="75" spans="1:13" x14ac:dyDescent="0.25">
      <c r="A75" t="s">
        <v>3</v>
      </c>
      <c r="B75" t="s">
        <v>219</v>
      </c>
      <c r="C75" t="s">
        <v>357</v>
      </c>
      <c r="E75" t="s">
        <v>358</v>
      </c>
      <c r="F75" t="s">
        <v>1213</v>
      </c>
      <c r="G75" t="s">
        <v>1214</v>
      </c>
      <c r="H75" t="s">
        <v>354</v>
      </c>
      <c r="I75" t="s">
        <v>355</v>
      </c>
      <c r="J75" t="s">
        <v>356</v>
      </c>
      <c r="K75" t="s">
        <v>943</v>
      </c>
      <c r="L75" t="s">
        <v>944</v>
      </c>
      <c r="M75" t="str">
        <f t="shared" si="1"/>
        <v>, ('Projection','records','QGradebook','','GradebookIdentifier','Feature','Progress','Gradebooks','Gradebook','gradebooks','{gradebook:guid}','4735608B-AC3B-4027-9E8A-EE8C49EA705D')</v>
      </c>
    </row>
    <row r="76" spans="1:13" x14ac:dyDescent="0.25">
      <c r="A76" t="s">
        <v>3</v>
      </c>
      <c r="B76" t="s">
        <v>219</v>
      </c>
      <c r="C76" t="s">
        <v>751</v>
      </c>
      <c r="D76" t="s">
        <v>1241</v>
      </c>
      <c r="E76" t="s">
        <v>372</v>
      </c>
      <c r="F76" t="s">
        <v>1213</v>
      </c>
      <c r="G76" t="s">
        <v>1214</v>
      </c>
      <c r="H76" t="s">
        <v>1237</v>
      </c>
      <c r="I76" t="s">
        <v>1242</v>
      </c>
      <c r="J76" t="s">
        <v>371</v>
      </c>
      <c r="K76" t="s">
        <v>728</v>
      </c>
      <c r="L76" t="s">
        <v>945</v>
      </c>
      <c r="M76" t="str">
        <f t="shared" si="1"/>
        <v>, ('Projection','records','QGradebookCompetencyValidation','QProgressionValidation','ValidationIdentifier','Feature','Progress','Progressions','ProgressionValidation','progressions-validations','{validation:guid}','07ABDB92-8930-484F-B054-7887E38012D5')</v>
      </c>
    </row>
    <row r="77" spans="1:13" x14ac:dyDescent="0.25">
      <c r="A77" t="s">
        <v>3</v>
      </c>
      <c r="B77" t="s">
        <v>219</v>
      </c>
      <c r="C77" t="s">
        <v>806</v>
      </c>
      <c r="E77" t="s">
        <v>851</v>
      </c>
      <c r="F77" t="s">
        <v>1213</v>
      </c>
      <c r="G77" t="s">
        <v>1214</v>
      </c>
      <c r="H77" t="s">
        <v>354</v>
      </c>
      <c r="I77" t="s">
        <v>1206</v>
      </c>
      <c r="J77" t="s">
        <v>1207</v>
      </c>
      <c r="K77" t="s">
        <v>1208</v>
      </c>
      <c r="L77" t="s">
        <v>805</v>
      </c>
      <c r="M77" t="str">
        <f t="shared" si="1"/>
        <v>, ('Projection','records','QGradebookEvent','','EventIdentifier,GradebookIdentifier','Feature','Progress','Gradebooks','GradebookEvent','gradebooks-events','{gradebook:guid}/{event:guid}','A801377F-45C3-4183-95D4-9B09D3958B83')</v>
      </c>
    </row>
    <row r="78" spans="1:13" x14ac:dyDescent="0.25">
      <c r="A78" t="s">
        <v>3</v>
      </c>
      <c r="B78" t="s">
        <v>219</v>
      </c>
      <c r="C78" t="s">
        <v>360</v>
      </c>
      <c r="D78" t="s">
        <v>1243</v>
      </c>
      <c r="E78" t="s">
        <v>361</v>
      </c>
      <c r="F78" t="s">
        <v>1213</v>
      </c>
      <c r="G78" t="s">
        <v>1214</v>
      </c>
      <c r="H78" t="s">
        <v>354</v>
      </c>
      <c r="I78" t="s">
        <v>1244</v>
      </c>
      <c r="J78" t="s">
        <v>359</v>
      </c>
      <c r="K78" t="s">
        <v>946</v>
      </c>
      <c r="L78" t="s">
        <v>947</v>
      </c>
      <c r="M78" t="str">
        <f t="shared" si="1"/>
        <v>, ('Projection','records','QGradeItem','QGradeitem','GradeItemIdentifier','Feature','Progress','Gradebooks','Gradeitem','gradeitems','{gradeitem:guid}','93343478-E9E6-43F5-AEEF-6F30EC1C4623')</v>
      </c>
    </row>
    <row r="79" spans="1:13" x14ac:dyDescent="0.25">
      <c r="A79" t="s">
        <v>3</v>
      </c>
      <c r="B79" t="s">
        <v>219</v>
      </c>
      <c r="C79" t="s">
        <v>364</v>
      </c>
      <c r="D79" t="s">
        <v>1245</v>
      </c>
      <c r="E79" t="s">
        <v>365</v>
      </c>
      <c r="F79" t="s">
        <v>1213</v>
      </c>
      <c r="G79" t="s">
        <v>1214</v>
      </c>
      <c r="H79" t="s">
        <v>354</v>
      </c>
      <c r="I79" t="s">
        <v>1246</v>
      </c>
      <c r="J79" t="s">
        <v>362</v>
      </c>
      <c r="K79" t="s">
        <v>363</v>
      </c>
      <c r="L79" t="s">
        <v>948</v>
      </c>
      <c r="M79" t="str">
        <f t="shared" si="1"/>
        <v>, ('Projection','records','QGradeItemCompetency','QGradeitemCompetency','CompetencyIdentifier,GradebookIdentifier,GradeItemIdentifier','Feature','Progress','Gradebooks','GradeitemCompetency','gradeitems-competencies','{gradebook:guid}/{gradeitem:guid}/{competency:guid}','2EB7F949-0803-462B-96F2-BD23A7B1FA10')</v>
      </c>
    </row>
    <row r="80" spans="1:13" x14ac:dyDescent="0.25">
      <c r="A80" t="s">
        <v>3</v>
      </c>
      <c r="B80" t="s">
        <v>219</v>
      </c>
      <c r="C80" t="s">
        <v>220</v>
      </c>
      <c r="D80" t="s">
        <v>949</v>
      </c>
      <c r="E80" t="s">
        <v>221</v>
      </c>
      <c r="F80" t="s">
        <v>1213</v>
      </c>
      <c r="G80" t="s">
        <v>1214</v>
      </c>
      <c r="H80" t="s">
        <v>216</v>
      </c>
      <c r="I80" t="s">
        <v>217</v>
      </c>
      <c r="J80" t="s">
        <v>218</v>
      </c>
      <c r="K80" t="s">
        <v>950</v>
      </c>
      <c r="L80" t="s">
        <v>951</v>
      </c>
      <c r="M80" t="str">
        <f t="shared" si="1"/>
        <v>, ('Projection','records','QJournal','QLogbook','JournalIdentifier','Feature','Progress','Logbooks','Logbook','logbooks','{logbook:guid}','A1D61C4F-32C9-4F93-BC04-5D48126F4649')</v>
      </c>
    </row>
    <row r="81" spans="1:13" x14ac:dyDescent="0.25">
      <c r="A81" t="s">
        <v>3</v>
      </c>
      <c r="B81" t="s">
        <v>219</v>
      </c>
      <c r="C81" t="s">
        <v>232</v>
      </c>
      <c r="D81" t="s">
        <v>952</v>
      </c>
      <c r="E81" t="s">
        <v>233</v>
      </c>
      <c r="F81" t="s">
        <v>1213</v>
      </c>
      <c r="G81" t="s">
        <v>1214</v>
      </c>
      <c r="H81" t="s">
        <v>815</v>
      </c>
      <c r="I81" t="s">
        <v>230</v>
      </c>
      <c r="J81" t="s">
        <v>231</v>
      </c>
      <c r="K81" t="s">
        <v>953</v>
      </c>
      <c r="L81" t="s">
        <v>954</v>
      </c>
      <c r="M81" t="str">
        <f t="shared" si="1"/>
        <v>, ('Projection','records','QJournalSetup','QRegulation','JournalSetupIdentifier','Feature','Progress','Regulations','Regulation','regulations','{regulation:guid}','70250095-A228-4825-BFCB-4FFBECC1B291')</v>
      </c>
    </row>
    <row r="82" spans="1:13" x14ac:dyDescent="0.25">
      <c r="A82" t="s">
        <v>3</v>
      </c>
      <c r="B82" t="s">
        <v>219</v>
      </c>
      <c r="C82" t="s">
        <v>241</v>
      </c>
      <c r="D82" t="s">
        <v>955</v>
      </c>
      <c r="E82" t="s">
        <v>242</v>
      </c>
      <c r="F82" t="s">
        <v>1213</v>
      </c>
      <c r="G82" t="s">
        <v>1214</v>
      </c>
      <c r="H82" t="s">
        <v>815</v>
      </c>
      <c r="I82" t="s">
        <v>239</v>
      </c>
      <c r="J82" t="s">
        <v>240</v>
      </c>
      <c r="K82" t="s">
        <v>734</v>
      </c>
      <c r="L82" t="s">
        <v>956</v>
      </c>
      <c r="M82" t="str">
        <f t="shared" si="1"/>
        <v>, ('Projection','records','QJournalSetupField','QRegulationField','JournalSetupFieldIdentifier','Feature','Progress','Regulations','RegulationField','regulations-fields','{field:guid}','14490404-2F12-4704-B736-EE791F5C38D5')</v>
      </c>
    </row>
    <row r="83" spans="1:13" x14ac:dyDescent="0.25">
      <c r="A83" t="s">
        <v>3</v>
      </c>
      <c r="B83" t="s">
        <v>219</v>
      </c>
      <c r="C83" t="s">
        <v>808</v>
      </c>
      <c r="D83" t="s">
        <v>1106</v>
      </c>
      <c r="E83" t="s">
        <v>852</v>
      </c>
      <c r="F83" t="s">
        <v>1213</v>
      </c>
      <c r="G83" t="s">
        <v>1214</v>
      </c>
      <c r="H83" t="s">
        <v>815</v>
      </c>
      <c r="I83" t="s">
        <v>817</v>
      </c>
      <c r="J83" t="s">
        <v>819</v>
      </c>
      <c r="K83" t="s">
        <v>820</v>
      </c>
      <c r="L83" t="s">
        <v>807</v>
      </c>
      <c r="M83" t="str">
        <f t="shared" si="1"/>
        <v>, ('Projection','records','QJournalSetupGroup','QRegulationGroup','GroupIdentifier,JournalSetupIdentifier','Feature','Progress','Regulations','RegulationGroup','regulations-groups','{regulation:guid}/{group:guid}','1BA7F009-4B30-4212-A2AD-BD567AD0FF2E')</v>
      </c>
    </row>
    <row r="84" spans="1:13" x14ac:dyDescent="0.25">
      <c r="A84" t="s">
        <v>3</v>
      </c>
      <c r="B84" t="s">
        <v>219</v>
      </c>
      <c r="C84" t="s">
        <v>245</v>
      </c>
      <c r="D84" t="s">
        <v>957</v>
      </c>
      <c r="E84" t="s">
        <v>215</v>
      </c>
      <c r="F84" t="s">
        <v>1213</v>
      </c>
      <c r="G84" t="s">
        <v>1214</v>
      </c>
      <c r="H84" t="s">
        <v>216</v>
      </c>
      <c r="I84" t="s">
        <v>243</v>
      </c>
      <c r="J84" t="s">
        <v>244</v>
      </c>
      <c r="K84" t="s">
        <v>729</v>
      </c>
      <c r="L84" t="s">
        <v>958</v>
      </c>
      <c r="M84" t="str">
        <f t="shared" si="1"/>
        <v>, ('Projection','records','QJournalSetupUser','QRegulationUser','EnrollmentIdentifier','Feature','Progress','Logbooks','RegulationUser','regulations-users','{enrollment:guid}','EA84CC56-76B2-4931-8618-5C90FD929794')</v>
      </c>
    </row>
    <row r="85" spans="1:13" x14ac:dyDescent="0.25">
      <c r="A85" t="s">
        <v>3</v>
      </c>
      <c r="B85" t="s">
        <v>219</v>
      </c>
      <c r="C85" t="s">
        <v>406</v>
      </c>
      <c r="E85" t="s">
        <v>407</v>
      </c>
      <c r="F85" t="s">
        <v>1213</v>
      </c>
      <c r="G85" t="s">
        <v>1214</v>
      </c>
      <c r="H85" t="s">
        <v>403</v>
      </c>
      <c r="I85" t="s">
        <v>404</v>
      </c>
      <c r="J85" t="s">
        <v>405</v>
      </c>
      <c r="K85" t="s">
        <v>959</v>
      </c>
      <c r="L85" t="s">
        <v>960</v>
      </c>
      <c r="M85" t="str">
        <f t="shared" si="1"/>
        <v>, ('Projection','records','QPeriod','','PeriodIdentifier','Feature','Progress','Periods','Period','periods','{period:guid}','698CCDF4-2774-46C2-BFF2-E91BE3A81ABC')</v>
      </c>
    </row>
    <row r="86" spans="1:13" x14ac:dyDescent="0.25">
      <c r="A86" t="s">
        <v>3</v>
      </c>
      <c r="B86" t="s">
        <v>219</v>
      </c>
      <c r="C86" t="s">
        <v>368</v>
      </c>
      <c r="D86" t="s">
        <v>961</v>
      </c>
      <c r="E86" t="s">
        <v>369</v>
      </c>
      <c r="F86" t="s">
        <v>1213</v>
      </c>
      <c r="G86" t="s">
        <v>1214</v>
      </c>
      <c r="H86" t="s">
        <v>1237</v>
      </c>
      <c r="I86" t="s">
        <v>366</v>
      </c>
      <c r="J86" t="s">
        <v>367</v>
      </c>
      <c r="K86" t="s">
        <v>962</v>
      </c>
      <c r="L86" t="s">
        <v>963</v>
      </c>
      <c r="M86" t="str">
        <f t="shared" si="1"/>
        <v>, ('Projection','records','QProgress','QProgression','ProgressIdentifier','Feature','Progress','Progressions','Progression','progressions','{progression:guid}','D5E8AA0E-4C83-4379-B6F9-EA292EE77DA5')</v>
      </c>
    </row>
    <row r="87" spans="1:13" x14ac:dyDescent="0.25">
      <c r="A87" t="s">
        <v>3</v>
      </c>
      <c r="B87" t="s">
        <v>219</v>
      </c>
      <c r="C87" t="s">
        <v>370</v>
      </c>
      <c r="D87" t="s">
        <v>1247</v>
      </c>
      <c r="E87" t="s">
        <v>342</v>
      </c>
      <c r="F87" t="s">
        <v>1213</v>
      </c>
      <c r="G87" t="s">
        <v>1214</v>
      </c>
      <c r="H87" t="s">
        <v>1237</v>
      </c>
      <c r="I87" t="s">
        <v>1248</v>
      </c>
      <c r="J87" t="s">
        <v>1249</v>
      </c>
      <c r="K87" t="s">
        <v>340</v>
      </c>
      <c r="L87" t="s">
        <v>964</v>
      </c>
      <c r="M87" t="str">
        <f t="shared" si="1"/>
        <v>, ('Projection','records','QProgressHistory','QProgressionChange','AggregateIdentifier,AggregateVersion','Feature','Progress','Progressions','ProgressionChange','progressions-changes','{aggregate:guid}/{version:int}','5F10619C-79FB-492E-BA70-C3DFE31319F8')</v>
      </c>
    </row>
    <row r="88" spans="1:13" x14ac:dyDescent="0.25">
      <c r="A88" t="s">
        <v>3</v>
      </c>
      <c r="B88" t="s">
        <v>219</v>
      </c>
      <c r="C88" t="s">
        <v>1250</v>
      </c>
      <c r="E88" t="s">
        <v>376</v>
      </c>
      <c r="F88" t="s">
        <v>1213</v>
      </c>
      <c r="G88" t="s">
        <v>0</v>
      </c>
      <c r="H88" t="s">
        <v>373</v>
      </c>
      <c r="I88" t="s">
        <v>374</v>
      </c>
      <c r="J88" t="s">
        <v>375</v>
      </c>
      <c r="K88" t="s">
        <v>1113</v>
      </c>
      <c r="L88" t="s">
        <v>1114</v>
      </c>
      <c r="M88" t="str">
        <f t="shared" si="1"/>
        <v>, ('Projection','records','QRubric','','RubricIdentifier','Feature','Assessment','Rubrics','Rubric','rubrics','{rubric:guid}','01678831-E1D0-48CF-BEF7-E231FF97AF63')</v>
      </c>
    </row>
    <row r="89" spans="1:13" x14ac:dyDescent="0.25">
      <c r="A89" t="s">
        <v>3</v>
      </c>
      <c r="B89" t="s">
        <v>219</v>
      </c>
      <c r="C89" t="s">
        <v>1251</v>
      </c>
      <c r="E89" t="s">
        <v>1252</v>
      </c>
      <c r="F89" t="s">
        <v>1213</v>
      </c>
      <c r="G89" t="s">
        <v>0</v>
      </c>
      <c r="H89" t="s">
        <v>373</v>
      </c>
      <c r="I89" t="s">
        <v>377</v>
      </c>
      <c r="J89" t="s">
        <v>378</v>
      </c>
      <c r="K89" t="s">
        <v>727</v>
      </c>
      <c r="L89" t="s">
        <v>1115</v>
      </c>
      <c r="M89" t="str">
        <f t="shared" si="1"/>
        <v>, ('Projection','records','QRubricCriterion','','RubricCriterionIdentifier','Feature','Assessment','Rubrics','RubricCriterion','rubrics-criteria','{criterion:guid}','1FB81177-94B4-4424-B770-B963C4026106')</v>
      </c>
    </row>
    <row r="90" spans="1:13" x14ac:dyDescent="0.25">
      <c r="A90" t="s">
        <v>3</v>
      </c>
      <c r="B90" t="s">
        <v>219</v>
      </c>
      <c r="C90" t="s">
        <v>1253</v>
      </c>
      <c r="E90" t="s">
        <v>1254</v>
      </c>
      <c r="F90" t="s">
        <v>1213</v>
      </c>
      <c r="G90" t="s">
        <v>0</v>
      </c>
      <c r="H90" t="s">
        <v>373</v>
      </c>
      <c r="I90" t="s">
        <v>379</v>
      </c>
      <c r="J90" t="s">
        <v>380</v>
      </c>
      <c r="K90" t="s">
        <v>726</v>
      </c>
      <c r="L90" t="s">
        <v>1116</v>
      </c>
      <c r="M90" t="str">
        <f t="shared" si="1"/>
        <v>, ('Projection','records','QRubricRating','','RubricRatingIdentifier','Feature','Assessment','Rubrics','RubricRating','rubrics-ratings','{rating:guid}','F6CC8E4E-2A55-42C9-8049-8A9FDFDE7259')</v>
      </c>
    </row>
    <row r="91" spans="1:13" x14ac:dyDescent="0.25">
      <c r="A91" t="s">
        <v>3</v>
      </c>
      <c r="B91" t="s">
        <v>410</v>
      </c>
      <c r="C91" t="s">
        <v>415</v>
      </c>
      <c r="D91" t="s">
        <v>965</v>
      </c>
      <c r="E91" t="s">
        <v>416</v>
      </c>
      <c r="F91" t="s">
        <v>1213</v>
      </c>
      <c r="G91" t="s">
        <v>1230</v>
      </c>
      <c r="H91" t="s">
        <v>408</v>
      </c>
      <c r="I91" t="s">
        <v>413</v>
      </c>
      <c r="J91" t="s">
        <v>414</v>
      </c>
      <c r="K91" t="s">
        <v>724</v>
      </c>
      <c r="L91" t="s">
        <v>966</v>
      </c>
      <c r="M91" t="str">
        <f t="shared" si="1"/>
        <v>, ('Projection','registrations','QAccommodation','QRegistrationAccommodation','AccommodationIdentifier','Feature','Booking','Registrations','RegistrationAccommodation','registrations-accommodations','{accommodation:guid}','8C447F04-2B0A-49AE-ADE0-232E9DD80727')</v>
      </c>
    </row>
    <row r="92" spans="1:13" x14ac:dyDescent="0.25">
      <c r="A92" t="s">
        <v>3</v>
      </c>
      <c r="B92" t="s">
        <v>410</v>
      </c>
      <c r="C92" t="s">
        <v>411</v>
      </c>
      <c r="E92" t="s">
        <v>412</v>
      </c>
      <c r="F92" t="s">
        <v>1213</v>
      </c>
      <c r="G92" t="s">
        <v>1230</v>
      </c>
      <c r="H92" t="s">
        <v>408</v>
      </c>
      <c r="I92" t="s">
        <v>409</v>
      </c>
      <c r="J92" t="s">
        <v>410</v>
      </c>
      <c r="K92" t="s">
        <v>713</v>
      </c>
      <c r="L92" t="s">
        <v>967</v>
      </c>
      <c r="M92" t="str">
        <f t="shared" si="1"/>
        <v>, ('Projection','registrations','QRegistration','','RegistrationIdentifier','Feature','Booking','Registrations','Registration','registrations','{registration:guid}','589169F5-D9AC-4A1F-9188-B107070675BD')</v>
      </c>
    </row>
    <row r="93" spans="1:13" x14ac:dyDescent="0.25">
      <c r="A93" t="s">
        <v>3</v>
      </c>
      <c r="B93" t="s">
        <v>410</v>
      </c>
      <c r="C93" t="s">
        <v>420</v>
      </c>
      <c r="E93" t="s">
        <v>421</v>
      </c>
      <c r="F93" t="s">
        <v>1213</v>
      </c>
      <c r="G93" t="s">
        <v>1230</v>
      </c>
      <c r="H93" t="s">
        <v>408</v>
      </c>
      <c r="I93" t="s">
        <v>417</v>
      </c>
      <c r="J93" t="s">
        <v>418</v>
      </c>
      <c r="K93" t="s">
        <v>419</v>
      </c>
      <c r="L93" t="s">
        <v>968</v>
      </c>
      <c r="M93" t="str">
        <f t="shared" si="1"/>
        <v>, ('Projection','registrations','QRegistrationInstructor','','InstructorIdentifier,RegistrationIdentifier','Feature','Booking','Registrations','RegistrationInstructor','registrations-instructors','{registration:guid}/{instructor:guid}','5D1125CB-DD9A-40FA-A879-3F0E4159A23A')</v>
      </c>
    </row>
    <row r="94" spans="1:13" x14ac:dyDescent="0.25">
      <c r="A94" t="s">
        <v>3</v>
      </c>
      <c r="B94" t="s">
        <v>410</v>
      </c>
      <c r="C94" t="s">
        <v>424</v>
      </c>
      <c r="E94" t="s">
        <v>399</v>
      </c>
      <c r="F94" t="s">
        <v>1213</v>
      </c>
      <c r="G94" t="s">
        <v>1230</v>
      </c>
      <c r="H94" t="s">
        <v>408</v>
      </c>
      <c r="I94" t="s">
        <v>422</v>
      </c>
      <c r="J94" t="s">
        <v>423</v>
      </c>
      <c r="K94" t="s">
        <v>723</v>
      </c>
      <c r="L94" t="s">
        <v>969</v>
      </c>
      <c r="M94" t="str">
        <f t="shared" si="1"/>
        <v>, ('Projection','registrations','QRegistrationTimer','','TriggerCommand','Feature','Booking','Registrations','RegistrationTimer','registrations-timers','{timer:guid}','D402B86B-6473-43A4-AF55-7158F34DACE1')</v>
      </c>
    </row>
    <row r="95" spans="1:13" x14ac:dyDescent="0.25">
      <c r="A95" t="s">
        <v>3</v>
      </c>
      <c r="B95" t="s">
        <v>351</v>
      </c>
      <c r="C95" t="s">
        <v>352</v>
      </c>
      <c r="E95" t="s">
        <v>353</v>
      </c>
      <c r="F95" t="s">
        <v>1213</v>
      </c>
      <c r="G95" t="s">
        <v>1214</v>
      </c>
      <c r="H95" t="s">
        <v>1237</v>
      </c>
      <c r="I95" t="s">
        <v>350</v>
      </c>
      <c r="J95" t="s">
        <v>1255</v>
      </c>
      <c r="K95" t="s">
        <v>717</v>
      </c>
      <c r="L95" s="2" t="s">
        <v>970</v>
      </c>
      <c r="M95" t="str">
        <f t="shared" si="1"/>
        <v>, ('Projection','reports','QLearnerProgramSummary','','SummaryIdentifier','Feature','Progress','Progressions','LearnerProgramSummary','learners-programs-summaries','{summary:guid}','1E7399AF-74FD-46AB-B0A8-63A8C7ED8DF2')</v>
      </c>
    </row>
    <row r="96" spans="1:13" x14ac:dyDescent="0.25">
      <c r="A96" t="s">
        <v>3</v>
      </c>
      <c r="B96" t="s">
        <v>153</v>
      </c>
      <c r="C96" t="s">
        <v>154</v>
      </c>
      <c r="E96" t="s">
        <v>155</v>
      </c>
      <c r="F96" t="s">
        <v>1213</v>
      </c>
      <c r="G96" t="s">
        <v>1256</v>
      </c>
      <c r="H96" t="s">
        <v>150</v>
      </c>
      <c r="I96" t="s">
        <v>151</v>
      </c>
      <c r="J96" t="s">
        <v>152</v>
      </c>
      <c r="K96" t="s">
        <v>971</v>
      </c>
      <c r="L96" t="s">
        <v>972</v>
      </c>
      <c r="M96" t="str">
        <f t="shared" si="1"/>
        <v>, ('Projection','sites','QPage','','PageIdentifier','Feature','Workspace','Pages','Page','pages','{page:guid}','C5CA85C7-63A0-4D65-81FC-971B313D32B0')</v>
      </c>
    </row>
    <row r="97" spans="1:13" x14ac:dyDescent="0.25">
      <c r="A97" t="s">
        <v>3</v>
      </c>
      <c r="B97" t="s">
        <v>153</v>
      </c>
      <c r="C97" t="s">
        <v>158</v>
      </c>
      <c r="E97" t="s">
        <v>159</v>
      </c>
      <c r="F97" t="s">
        <v>1213</v>
      </c>
      <c r="G97" t="s">
        <v>1256</v>
      </c>
      <c r="H97" t="s">
        <v>156</v>
      </c>
      <c r="I97" t="s">
        <v>157</v>
      </c>
      <c r="J97" t="s">
        <v>153</v>
      </c>
      <c r="K97" t="s">
        <v>973</v>
      </c>
      <c r="L97" t="s">
        <v>974</v>
      </c>
      <c r="M97" t="str">
        <f t="shared" si="1"/>
        <v>, ('Projection','sites','QSite','','SiteIdentifier','Feature','Workspace','Sites','Site','sites','{site:guid}','411228DA-D758-43BE-B95B-5189305613C9')</v>
      </c>
    </row>
    <row r="98" spans="1:13" x14ac:dyDescent="0.25">
      <c r="A98" t="s">
        <v>3</v>
      </c>
      <c r="B98" t="s">
        <v>762</v>
      </c>
      <c r="C98" t="s">
        <v>761</v>
      </c>
      <c r="E98" t="s">
        <v>454</v>
      </c>
      <c r="F98" t="s">
        <v>1213</v>
      </c>
      <c r="G98" t="s">
        <v>1257</v>
      </c>
      <c r="H98" t="s">
        <v>442</v>
      </c>
      <c r="I98" t="s">
        <v>425</v>
      </c>
      <c r="J98" t="s">
        <v>429</v>
      </c>
      <c r="K98" t="s">
        <v>1130</v>
      </c>
      <c r="L98" t="s">
        <v>1131</v>
      </c>
      <c r="M98" t="str">
        <f t="shared" si="1"/>
        <v>, ('Projection','standard','QStandard','','StandardIdentifier','Feature','Competency','Standards','Standard','standards','{standard:guid}','E547C790-B688-47D3-B965-E37A7382E9BC')</v>
      </c>
    </row>
    <row r="99" spans="1:13" x14ac:dyDescent="0.25">
      <c r="A99" t="s">
        <v>3</v>
      </c>
      <c r="B99" t="s">
        <v>762</v>
      </c>
      <c r="C99" t="s">
        <v>763</v>
      </c>
      <c r="E99" t="s">
        <v>321</v>
      </c>
      <c r="F99" t="s">
        <v>1213</v>
      </c>
      <c r="G99" t="s">
        <v>1257</v>
      </c>
      <c r="H99" t="s">
        <v>442</v>
      </c>
      <c r="I99" t="s">
        <v>1191</v>
      </c>
      <c r="J99" t="s">
        <v>1189</v>
      </c>
      <c r="K99" t="s">
        <v>320</v>
      </c>
      <c r="L99" t="s">
        <v>1132</v>
      </c>
      <c r="M99" t="str">
        <f t="shared" si="1"/>
        <v>, ('Projection','standard','QStandardAchievement','','AchievementIdentifier,StandardIdentifier','Feature','Competency','Standards','StandardAchievement','standards-achievements','{achievement:guid}/{competency:guid}','B044AEB9-9D29-446B-804A-74CC1E8FDCB5')</v>
      </c>
    </row>
    <row r="100" spans="1:13" x14ac:dyDescent="0.25">
      <c r="A100" t="s">
        <v>3</v>
      </c>
      <c r="B100" t="s">
        <v>762</v>
      </c>
      <c r="C100" t="s">
        <v>752</v>
      </c>
      <c r="E100" t="s">
        <v>456</v>
      </c>
      <c r="F100" t="s">
        <v>1213</v>
      </c>
      <c r="G100" t="s">
        <v>1257</v>
      </c>
      <c r="H100" t="s">
        <v>442</v>
      </c>
      <c r="I100" t="s">
        <v>443</v>
      </c>
      <c r="J100" t="s">
        <v>455</v>
      </c>
      <c r="K100" t="s">
        <v>706</v>
      </c>
      <c r="L100" t="s">
        <v>1133</v>
      </c>
      <c r="M100" t="str">
        <f t="shared" si="1"/>
        <v>, ('Projection','standard','QStandardCategory','','CategoryIdentifier,StandardIdentifier','Feature','Competency','Standards','StandardCategory','standards-categories','{category:guid}','DBF823E7-A4A0-4D25-8B1D-7B3DBDAD8465')</v>
      </c>
    </row>
    <row r="101" spans="1:13" x14ac:dyDescent="0.25">
      <c r="A101" t="s">
        <v>3</v>
      </c>
      <c r="B101" t="s">
        <v>762</v>
      </c>
      <c r="C101" t="s">
        <v>760</v>
      </c>
      <c r="E101" t="s">
        <v>459</v>
      </c>
      <c r="F101" t="s">
        <v>1213</v>
      </c>
      <c r="G101" t="s">
        <v>1257</v>
      </c>
      <c r="H101" t="s">
        <v>442</v>
      </c>
      <c r="I101" t="s">
        <v>457</v>
      </c>
      <c r="J101" t="s">
        <v>458</v>
      </c>
      <c r="K101" t="s">
        <v>439</v>
      </c>
      <c r="L101" t="s">
        <v>1134</v>
      </c>
      <c r="M101" t="str">
        <f t="shared" si="1"/>
        <v>, ('Projection','standard','QStandardConnection','','FromStandardIdentifier,ToStandardIdentifier','Feature','Competency','Standards','StandardConnection','standards-connections','{from:guid}/{to:guid}','CB88B90C-78F2-4E49-BF06-1D6EC33ED83D')</v>
      </c>
    </row>
    <row r="102" spans="1:13" x14ac:dyDescent="0.25">
      <c r="A102" t="s">
        <v>3</v>
      </c>
      <c r="B102" t="s">
        <v>762</v>
      </c>
      <c r="C102" t="s">
        <v>759</v>
      </c>
      <c r="E102" t="s">
        <v>462</v>
      </c>
      <c r="F102" t="s">
        <v>1213</v>
      </c>
      <c r="G102" t="s">
        <v>1257</v>
      </c>
      <c r="H102" t="s">
        <v>442</v>
      </c>
      <c r="I102" t="s">
        <v>460</v>
      </c>
      <c r="J102" t="s">
        <v>461</v>
      </c>
      <c r="K102" t="s">
        <v>92</v>
      </c>
      <c r="L102" t="s">
        <v>1135</v>
      </c>
      <c r="M102" t="str">
        <f t="shared" si="1"/>
        <v>, ('Projection','standard','QStandardContainment','','ChildStandardIdentifier,ParentStandardIdentifier','Feature','Competency','Standards','StandardContainment','standards-containments','{parent:guid}/{child:guid}','E9A4CFEC-ABD6-4192-BD3B-3C3C91A881BB')</v>
      </c>
    </row>
    <row r="103" spans="1:13" x14ac:dyDescent="0.25">
      <c r="A103" t="s">
        <v>3</v>
      </c>
      <c r="B103" t="s">
        <v>762</v>
      </c>
      <c r="C103" t="s">
        <v>754</v>
      </c>
      <c r="E103" t="s">
        <v>853</v>
      </c>
      <c r="F103" t="s">
        <v>1213</v>
      </c>
      <c r="G103" t="s">
        <v>1257</v>
      </c>
      <c r="H103" t="s">
        <v>442</v>
      </c>
      <c r="I103" t="s">
        <v>857</v>
      </c>
      <c r="J103" t="s">
        <v>1190</v>
      </c>
      <c r="K103" t="s">
        <v>1258</v>
      </c>
      <c r="L103" t="s">
        <v>1136</v>
      </c>
      <c r="M103" t="str">
        <f t="shared" si="1"/>
        <v>, ('Projection','standard','QStandardGroup','','GroupIdentifier,StandardIdentifier','Feature','Competency','Standards','StandardGroup','standards-groups','{standard:guid}/{group:guid}','2A0FEFC0-A810-4BA4-A472-EF5BDBE72DA2')</v>
      </c>
    </row>
    <row r="104" spans="1:13" x14ac:dyDescent="0.25">
      <c r="A104" t="s">
        <v>3</v>
      </c>
      <c r="B104" t="s">
        <v>762</v>
      </c>
      <c r="C104" t="s">
        <v>756</v>
      </c>
      <c r="E104" t="s">
        <v>854</v>
      </c>
      <c r="F104" t="s">
        <v>1213</v>
      </c>
      <c r="G104" t="s">
        <v>1257</v>
      </c>
      <c r="H104" t="s">
        <v>442</v>
      </c>
      <c r="I104" t="s">
        <v>463</v>
      </c>
      <c r="J104" t="s">
        <v>464</v>
      </c>
      <c r="K104" t="s">
        <v>465</v>
      </c>
      <c r="L104" t="s">
        <v>1137</v>
      </c>
      <c r="M104" t="str">
        <f t="shared" si="1"/>
        <v>, ('Projection','standard','QStandardOrganization','','ConnectedOrganizationIdentifier,StandardIdentifier','Feature','Competency','Standards','StandardOrganization','standards-organizations','{competency:guid}/{organization:guid}','A6332F0E-91DB-4598-A330-9DB9FB7F107F')</v>
      </c>
    </row>
    <row r="105" spans="1:13" x14ac:dyDescent="0.25">
      <c r="A105" t="s">
        <v>3</v>
      </c>
      <c r="B105" t="s">
        <v>762</v>
      </c>
      <c r="C105" t="s">
        <v>810</v>
      </c>
      <c r="E105" t="s">
        <v>811</v>
      </c>
      <c r="F105" t="s">
        <v>1213</v>
      </c>
      <c r="G105" t="s">
        <v>1257</v>
      </c>
      <c r="H105" t="s">
        <v>816</v>
      </c>
      <c r="I105" t="s">
        <v>1138</v>
      </c>
      <c r="J105" t="s">
        <v>818</v>
      </c>
      <c r="K105" t="s">
        <v>821</v>
      </c>
      <c r="L105" t="s">
        <v>809</v>
      </c>
      <c r="M105" t="str">
        <f t="shared" si="1"/>
        <v>, ('Projection','standard','QStandardTier','','ItemStandardIdentifier','Feature','Competency','Tiers','StandardTier','standards-tiers','{tier:guid}','BD5A337D-9E0A-43AB-A29C-6E98CF2EC838')</v>
      </c>
    </row>
    <row r="106" spans="1:13" x14ac:dyDescent="0.25">
      <c r="A106" t="s">
        <v>3</v>
      </c>
      <c r="B106" t="s">
        <v>762</v>
      </c>
      <c r="C106" t="s">
        <v>757</v>
      </c>
      <c r="D106" t="s">
        <v>1139</v>
      </c>
      <c r="E106" t="s">
        <v>855</v>
      </c>
      <c r="F106" t="s">
        <v>1213</v>
      </c>
      <c r="G106" t="s">
        <v>1257</v>
      </c>
      <c r="H106" t="s">
        <v>466</v>
      </c>
      <c r="I106" t="s">
        <v>467</v>
      </c>
      <c r="J106" t="s">
        <v>468</v>
      </c>
      <c r="K106" t="s">
        <v>728</v>
      </c>
      <c r="L106" t="s">
        <v>1140</v>
      </c>
      <c r="M106" t="str">
        <f t="shared" si="1"/>
        <v>, ('Projection','standard','QStandardValidation','QValidation','StandardValidationIdentifier','Feature','Competency','Validations','Validation','validations','{validation:guid}','ED314581-30A1-4575-BCEB-283D8DE8AF20')</v>
      </c>
    </row>
    <row r="107" spans="1:13" x14ac:dyDescent="0.25">
      <c r="A107" t="s">
        <v>3</v>
      </c>
      <c r="B107" t="s">
        <v>762</v>
      </c>
      <c r="C107" t="s">
        <v>758</v>
      </c>
      <c r="D107" t="s">
        <v>1259</v>
      </c>
      <c r="E107" t="s">
        <v>856</v>
      </c>
      <c r="F107" t="s">
        <v>1213</v>
      </c>
      <c r="G107" t="s">
        <v>1257</v>
      </c>
      <c r="H107" t="s">
        <v>466</v>
      </c>
      <c r="I107" t="s">
        <v>1260</v>
      </c>
      <c r="J107" t="s">
        <v>1261</v>
      </c>
      <c r="K107" t="s">
        <v>716</v>
      </c>
      <c r="L107" t="s">
        <v>1141</v>
      </c>
      <c r="M107" t="str">
        <f t="shared" si="1"/>
        <v>, ('Projection','standard','QStandardValidationLog','QValidationChange','LogIdentifier','Feature','Competency','Validations','ValidationChange','validations-changes','{log:guid}','6B5D3FAF-7CFE-46E1-896D-EB9EA4698230')</v>
      </c>
    </row>
    <row r="108" spans="1:13" x14ac:dyDescent="0.25">
      <c r="A108" t="s">
        <v>3</v>
      </c>
      <c r="B108" t="s">
        <v>429</v>
      </c>
      <c r="C108" t="s">
        <v>430</v>
      </c>
      <c r="E108" t="s">
        <v>431</v>
      </c>
      <c r="F108" t="s">
        <v>1213</v>
      </c>
      <c r="G108" t="s">
        <v>1257</v>
      </c>
      <c r="H108" t="s">
        <v>426</v>
      </c>
      <c r="I108" t="s">
        <v>427</v>
      </c>
      <c r="J108" t="s">
        <v>428</v>
      </c>
      <c r="K108" t="s">
        <v>975</v>
      </c>
      <c r="L108" t="s">
        <v>976</v>
      </c>
      <c r="M108" t="str">
        <f t="shared" si="1"/>
        <v>, ('Projection','standards','QDocument','','DocumentIdentifier','Feature','Competency','Documents','Document','documents','{document:guid}','4D320164-D7BD-41A2-B988-61EFFE4B172D')</v>
      </c>
    </row>
    <row r="109" spans="1:13" x14ac:dyDescent="0.25">
      <c r="A109" t="s">
        <v>3</v>
      </c>
      <c r="B109" t="s">
        <v>429</v>
      </c>
      <c r="C109" t="s">
        <v>435</v>
      </c>
      <c r="E109" t="s">
        <v>436</v>
      </c>
      <c r="F109" t="s">
        <v>1213</v>
      </c>
      <c r="G109" t="s">
        <v>1257</v>
      </c>
      <c r="H109" t="s">
        <v>426</v>
      </c>
      <c r="I109" t="s">
        <v>432</v>
      </c>
      <c r="J109" t="s">
        <v>433</v>
      </c>
      <c r="K109" t="s">
        <v>434</v>
      </c>
      <c r="L109" s="2" t="s">
        <v>977</v>
      </c>
      <c r="M109" t="str">
        <f t="shared" si="1"/>
        <v>, ('Projection','standards','QDocumentCompetency','','CompetencyIdentifier,DocumentIdentifier','Feature','Competency','Documents','DocumentCompetency','documents-competencies','{document:guid}/{competency:guid}','CC998E9B-081C-463D-B1A1-A8292AA1474D')</v>
      </c>
    </row>
    <row r="110" spans="1:13" x14ac:dyDescent="0.25">
      <c r="A110" t="s">
        <v>3</v>
      </c>
      <c r="B110" t="s">
        <v>429</v>
      </c>
      <c r="C110" t="s">
        <v>440</v>
      </c>
      <c r="D110" t="s">
        <v>978</v>
      </c>
      <c r="E110" t="s">
        <v>441</v>
      </c>
      <c r="F110" t="s">
        <v>1213</v>
      </c>
      <c r="G110" t="s">
        <v>1257</v>
      </c>
      <c r="H110" t="s">
        <v>426</v>
      </c>
      <c r="I110" t="s">
        <v>437</v>
      </c>
      <c r="J110" t="s">
        <v>438</v>
      </c>
      <c r="K110" t="s">
        <v>439</v>
      </c>
      <c r="L110" t="s">
        <v>979</v>
      </c>
      <c r="M110" t="str">
        <f t="shared" si="1"/>
        <v>, ('Projection','standards','QRelatedDocument','QDocumentConnection','DocumentIdentifier,RelatedDocumentIdentifier','Feature','Competency','Documents','DocumentConnection','documents-connections','{from:guid}/{to:guid}','F3FC3EBB-2090-4E99-91C5-A18EA79E88D1')</v>
      </c>
    </row>
    <row r="111" spans="1:13" x14ac:dyDescent="0.25">
      <c r="A111" t="s">
        <v>3</v>
      </c>
      <c r="B111" t="s">
        <v>473</v>
      </c>
      <c r="C111" t="s">
        <v>483</v>
      </c>
      <c r="E111" t="s">
        <v>484</v>
      </c>
      <c r="F111" t="s">
        <v>1213</v>
      </c>
      <c r="G111" t="s">
        <v>1262</v>
      </c>
      <c r="H111" t="s">
        <v>470</v>
      </c>
      <c r="I111" t="s">
        <v>480</v>
      </c>
      <c r="J111" t="s">
        <v>481</v>
      </c>
      <c r="K111" t="s">
        <v>482</v>
      </c>
      <c r="L111" t="s">
        <v>980</v>
      </c>
      <c r="M111" t="str">
        <f t="shared" si="1"/>
        <v>, ('Projection','surveys','QResponseAnswer','','ResponseSessionIdentifier,SurveyQuestionIdentifier','Feature','Feedback','Responses','ResponseAnswer','responses-answers','{response:guid}/{question:guid}','B344C563-2C34-497B-97A1-0E3B6195C83A')</v>
      </c>
    </row>
    <row r="112" spans="1:13" x14ac:dyDescent="0.25">
      <c r="A112" t="s">
        <v>3</v>
      </c>
      <c r="B112" t="s">
        <v>473</v>
      </c>
      <c r="C112" t="s">
        <v>488</v>
      </c>
      <c r="E112" t="s">
        <v>489</v>
      </c>
      <c r="F112" t="s">
        <v>1213</v>
      </c>
      <c r="G112" t="s">
        <v>1262</v>
      </c>
      <c r="H112" t="s">
        <v>470</v>
      </c>
      <c r="I112" t="s">
        <v>485</v>
      </c>
      <c r="J112" t="s">
        <v>486</v>
      </c>
      <c r="K112" t="s">
        <v>487</v>
      </c>
      <c r="L112" t="s">
        <v>981</v>
      </c>
      <c r="M112" t="str">
        <f t="shared" si="1"/>
        <v>, ('Projection','surveys','QResponseOption','','ResponseSessionIdentifier,SurveyOptionIdentifier','Feature','Feedback','Responses','ResponseOption','responses-options','{response:guid}/{option:guid}','72BE88E2-D89B-4C80-A138-32B4288ED046')</v>
      </c>
    </row>
    <row r="113" spans="1:13" x14ac:dyDescent="0.25">
      <c r="A113" t="s">
        <v>3</v>
      </c>
      <c r="B113" t="s">
        <v>473</v>
      </c>
      <c r="C113" t="s">
        <v>478</v>
      </c>
      <c r="D113" t="s">
        <v>982</v>
      </c>
      <c r="E113" t="s">
        <v>479</v>
      </c>
      <c r="F113" t="s">
        <v>1213</v>
      </c>
      <c r="G113" t="s">
        <v>1262</v>
      </c>
      <c r="H113" t="s">
        <v>470</v>
      </c>
      <c r="I113" t="s">
        <v>476</v>
      </c>
      <c r="J113" t="s">
        <v>477</v>
      </c>
      <c r="K113" t="s">
        <v>983</v>
      </c>
      <c r="L113" t="s">
        <v>984</v>
      </c>
      <c r="M113" t="str">
        <f t="shared" si="1"/>
        <v>, ('Projection','surveys','QResponseSession','QResponse','ResponseSessionIdentifier','Feature','Feedback','Responses','Response','responses','{response:guid}','BE7B6482-68EC-4FAE-B3A0-780D45AF4BBF')</v>
      </c>
    </row>
    <row r="114" spans="1:13" x14ac:dyDescent="0.25">
      <c r="A114" t="s">
        <v>3</v>
      </c>
      <c r="B114" t="s">
        <v>473</v>
      </c>
      <c r="C114" t="s">
        <v>496</v>
      </c>
      <c r="E114" t="s">
        <v>497</v>
      </c>
      <c r="F114" t="s">
        <v>1213</v>
      </c>
      <c r="G114" t="s">
        <v>1262</v>
      </c>
      <c r="H114" t="s">
        <v>490</v>
      </c>
      <c r="I114" t="s">
        <v>493</v>
      </c>
      <c r="J114" t="s">
        <v>494</v>
      </c>
      <c r="K114" t="s">
        <v>495</v>
      </c>
      <c r="L114" t="s">
        <v>985</v>
      </c>
      <c r="M114" t="str">
        <f t="shared" si="1"/>
        <v>, ('Projection','surveys','QSurveyCondition','','MaskedSurveyQuestionIdentifier,MaskingSurveyOptionItemIdentifier','Feature','Feedback','Surveys','SurveyCondition','surveys-conditions','{question:guid}/{option:guid}','AC4952C0-9097-4287-A871-F63BE5F0BE80')</v>
      </c>
    </row>
    <row r="115" spans="1:13" x14ac:dyDescent="0.25">
      <c r="A115" t="s">
        <v>3</v>
      </c>
      <c r="B115" t="s">
        <v>473</v>
      </c>
      <c r="C115" t="s">
        <v>491</v>
      </c>
      <c r="D115" t="s">
        <v>986</v>
      </c>
      <c r="E115" t="s">
        <v>492</v>
      </c>
      <c r="F115" t="s">
        <v>1213</v>
      </c>
      <c r="G115" t="s">
        <v>1262</v>
      </c>
      <c r="H115" t="s">
        <v>490</v>
      </c>
      <c r="I115" t="s">
        <v>469</v>
      </c>
      <c r="J115" t="s">
        <v>473</v>
      </c>
      <c r="K115" t="s">
        <v>987</v>
      </c>
      <c r="L115" t="s">
        <v>988</v>
      </c>
      <c r="M115" t="str">
        <f t="shared" si="1"/>
        <v>, ('Projection','surveys','QSurveyForm','QSurvey','SurveyFormIdentifier','Feature','Feedback','Surveys','Survey','surveys','{survey:guid}','B3C5ADEC-6109-480B-A405-25D74C8ED1CC')</v>
      </c>
    </row>
    <row r="116" spans="1:13" x14ac:dyDescent="0.25">
      <c r="A116" t="s">
        <v>3</v>
      </c>
      <c r="B116" t="s">
        <v>473</v>
      </c>
      <c r="C116" t="s">
        <v>500</v>
      </c>
      <c r="E116" t="s">
        <v>501</v>
      </c>
      <c r="F116" t="s">
        <v>1213</v>
      </c>
      <c r="G116" t="s">
        <v>1262</v>
      </c>
      <c r="H116" t="s">
        <v>490</v>
      </c>
      <c r="I116" t="s">
        <v>498</v>
      </c>
      <c r="J116" t="s">
        <v>499</v>
      </c>
      <c r="K116" t="s">
        <v>692</v>
      </c>
      <c r="L116" t="s">
        <v>989</v>
      </c>
      <c r="M116" t="str">
        <f t="shared" si="1"/>
        <v>, ('Projection','surveys','QSurveyOptionItem','','SurveyOptionItemIdentifier','Feature','Feedback','Surveys','SurveyOptionItem','surveys-options-items','{item:guid}','CA81FA69-7E5F-4CA7-B161-F682084F5E2B')</v>
      </c>
    </row>
    <row r="117" spans="1:13" x14ac:dyDescent="0.25">
      <c r="A117" t="s">
        <v>3</v>
      </c>
      <c r="B117" t="s">
        <v>473</v>
      </c>
      <c r="C117" t="s">
        <v>504</v>
      </c>
      <c r="E117" t="s">
        <v>505</v>
      </c>
      <c r="F117" t="s">
        <v>1213</v>
      </c>
      <c r="G117" t="s">
        <v>1262</v>
      </c>
      <c r="H117" t="s">
        <v>490</v>
      </c>
      <c r="I117" t="s">
        <v>502</v>
      </c>
      <c r="J117" t="s">
        <v>503</v>
      </c>
      <c r="K117" t="s">
        <v>712</v>
      </c>
      <c r="L117" t="s">
        <v>990</v>
      </c>
      <c r="M117" t="str">
        <f t="shared" si="1"/>
        <v>, ('Projection','surveys','QSurveyOptionList','','SurveyOptionListIdentifier','Feature','Feedback','Surveys','SurveyOptionList','surveys-options-lists','{list:guid}','91130BAF-E0E6-4A3E-96B0-586485120576')</v>
      </c>
    </row>
    <row r="118" spans="1:13" x14ac:dyDescent="0.25">
      <c r="A118" t="s">
        <v>3</v>
      </c>
      <c r="B118" t="s">
        <v>473</v>
      </c>
      <c r="C118" t="s">
        <v>508</v>
      </c>
      <c r="E118" t="s">
        <v>509</v>
      </c>
      <c r="F118" t="s">
        <v>1213</v>
      </c>
      <c r="G118" t="s">
        <v>1262</v>
      </c>
      <c r="H118" t="s">
        <v>490</v>
      </c>
      <c r="I118" t="s">
        <v>506</v>
      </c>
      <c r="J118" t="s">
        <v>507</v>
      </c>
      <c r="K118" t="s">
        <v>690</v>
      </c>
      <c r="L118" t="s">
        <v>991</v>
      </c>
      <c r="M118" t="str">
        <f t="shared" si="1"/>
        <v>, ('Projection','surveys','QSurveyQuestion','','SurveyQuestionIdentifier','Feature','Feedback','Surveys','SurveyQuestion','surveys-questions','{question:guid}','0409A253-41E3-43E6-A144-ECE99CB2FEFC')</v>
      </c>
    </row>
    <row r="119" spans="1:13" x14ac:dyDescent="0.25">
      <c r="A119" t="s">
        <v>3</v>
      </c>
      <c r="B119" t="s">
        <v>473</v>
      </c>
      <c r="C119" t="s">
        <v>474</v>
      </c>
      <c r="D119" t="s">
        <v>992</v>
      </c>
      <c r="E119" t="s">
        <v>475</v>
      </c>
      <c r="F119" t="s">
        <v>1213</v>
      </c>
      <c r="G119" t="s">
        <v>1262</v>
      </c>
      <c r="H119" t="s">
        <v>1263</v>
      </c>
      <c r="I119" t="s">
        <v>471</v>
      </c>
      <c r="J119" t="s">
        <v>472</v>
      </c>
      <c r="K119" t="s">
        <v>993</v>
      </c>
      <c r="L119" t="s">
        <v>994</v>
      </c>
      <c r="M119" t="str">
        <f t="shared" si="1"/>
        <v>, ('Projection','surveys','QSurveyRespondent','QRespondent','RespondentUserIdentifier,SurveyFormIdentifier','Feature','Feedback','Respondents','Respondent','respondents','{respondent:guid}','0DC21EC5-E3B0-4204-B9B1-21E4ADFA5F31')</v>
      </c>
    </row>
    <row r="120" spans="1:13" x14ac:dyDescent="0.25">
      <c r="A120" t="s">
        <v>57</v>
      </c>
      <c r="B120" t="s">
        <v>641</v>
      </c>
      <c r="C120" t="s">
        <v>642</v>
      </c>
      <c r="E120" t="s">
        <v>643</v>
      </c>
      <c r="F120" t="s">
        <v>687</v>
      </c>
      <c r="G120" t="s">
        <v>638</v>
      </c>
      <c r="H120" t="s">
        <v>739</v>
      </c>
      <c r="I120" t="s">
        <v>639</v>
      </c>
      <c r="J120" t="s">
        <v>640</v>
      </c>
      <c r="K120" t="s">
        <v>995</v>
      </c>
      <c r="L120" t="s">
        <v>996</v>
      </c>
      <c r="M120" t="str">
        <f t="shared" si="1"/>
        <v>, ('Table','accounts','TDeveloper','','TokenIdentifier','Utility','Security','Developers','Developer','developers','{developer:guid}','2D8D09A8-3DF9-4F86-9D56-B92EB93A2A3D')</v>
      </c>
    </row>
    <row r="121" spans="1:13" x14ac:dyDescent="0.25">
      <c r="A121" t="s">
        <v>57</v>
      </c>
      <c r="B121" t="s">
        <v>641</v>
      </c>
      <c r="C121" t="s">
        <v>657</v>
      </c>
      <c r="E121" t="s">
        <v>658</v>
      </c>
      <c r="F121" t="s">
        <v>687</v>
      </c>
      <c r="G121" t="s">
        <v>1264</v>
      </c>
      <c r="H121" t="s">
        <v>743</v>
      </c>
      <c r="I121" t="s">
        <v>655</v>
      </c>
      <c r="J121" t="s">
        <v>656</v>
      </c>
      <c r="K121" t="s">
        <v>997</v>
      </c>
      <c r="L121" t="s">
        <v>998</v>
      </c>
      <c r="M121" t="str">
        <f t="shared" si="1"/>
        <v>, ('Table','accounts','TSender','','SenderIdentifier','Utility','Platform','Senders','Sender','senders','{sender:guid}','A99AA2AC-F036-4C19-B1C9-616E73FDB5D8')</v>
      </c>
    </row>
    <row r="122" spans="1:13" x14ac:dyDescent="0.25">
      <c r="A122" t="s">
        <v>57</v>
      </c>
      <c r="B122" t="s">
        <v>641</v>
      </c>
      <c r="C122" t="s">
        <v>661</v>
      </c>
      <c r="E122" t="s">
        <v>302</v>
      </c>
      <c r="F122" t="s">
        <v>687</v>
      </c>
      <c r="G122" t="s">
        <v>1264</v>
      </c>
      <c r="H122" t="s">
        <v>743</v>
      </c>
      <c r="I122" t="s">
        <v>659</v>
      </c>
      <c r="J122" t="s">
        <v>660</v>
      </c>
      <c r="K122" t="s">
        <v>711</v>
      </c>
      <c r="L122" t="s">
        <v>999</v>
      </c>
      <c r="M122" t="str">
        <f t="shared" si="1"/>
        <v>, ('Table','accounts','TSenderOrganization','','JoinIdentifier','Utility','Platform','Senders','SenderOrganization','senders-organizations','{relationship:guid}','6A1F916E-4EDA-4BA2-8C90-E1A418076F2F')</v>
      </c>
    </row>
    <row r="123" spans="1:13" x14ac:dyDescent="0.25">
      <c r="A123" t="s">
        <v>57</v>
      </c>
      <c r="B123" t="s">
        <v>641</v>
      </c>
      <c r="C123" t="s">
        <v>685</v>
      </c>
      <c r="D123" t="s">
        <v>1000</v>
      </c>
      <c r="E123" t="s">
        <v>686</v>
      </c>
      <c r="F123" t="s">
        <v>687</v>
      </c>
      <c r="G123" t="s">
        <v>638</v>
      </c>
      <c r="H123" t="s">
        <v>744</v>
      </c>
      <c r="I123" t="s">
        <v>683</v>
      </c>
      <c r="J123" t="s">
        <v>684</v>
      </c>
      <c r="K123" t="s">
        <v>707</v>
      </c>
      <c r="L123" t="s">
        <v>1001</v>
      </c>
      <c r="M123" t="str">
        <f t="shared" si="1"/>
        <v>, ('Table','accounts','TUserAuthenticationFactor','TUserToken','UserAuthenticationFactorIdentifier','Utility','Security','Users','UserToken','users-tokens','{token:guid}','2EA9AA38-F232-4DB7-91A0-D5EC247CB8C1')</v>
      </c>
    </row>
    <row r="124" spans="1:13" x14ac:dyDescent="0.25">
      <c r="A124" t="s">
        <v>57</v>
      </c>
      <c r="B124" t="s">
        <v>641</v>
      </c>
      <c r="C124" t="s">
        <v>671</v>
      </c>
      <c r="E124" t="s">
        <v>672</v>
      </c>
      <c r="F124" t="s">
        <v>687</v>
      </c>
      <c r="G124" t="s">
        <v>638</v>
      </c>
      <c r="H124" t="s">
        <v>744</v>
      </c>
      <c r="I124" t="s">
        <v>669</v>
      </c>
      <c r="J124" t="s">
        <v>670</v>
      </c>
      <c r="K124" t="s">
        <v>1265</v>
      </c>
      <c r="L124" t="s">
        <v>1002</v>
      </c>
      <c r="M124" t="str">
        <f t="shared" si="1"/>
        <v>, ('Table','accounts','TUserMock','','MockIdentifier','Utility','Security','Users','UserMock','users-mocks','{mock:guid}','9CE08C55-3A39-4AFE-AC27-684E772350F9')</v>
      </c>
    </row>
    <row r="125" spans="1:13" x14ac:dyDescent="0.25">
      <c r="A125" t="s">
        <v>57</v>
      </c>
      <c r="B125" t="s">
        <v>641</v>
      </c>
      <c r="C125" t="s">
        <v>680</v>
      </c>
      <c r="E125" t="s">
        <v>681</v>
      </c>
      <c r="F125" t="s">
        <v>687</v>
      </c>
      <c r="G125" t="s">
        <v>638</v>
      </c>
      <c r="H125" t="s">
        <v>744</v>
      </c>
      <c r="I125" t="s">
        <v>678</v>
      </c>
      <c r="J125" t="s">
        <v>679</v>
      </c>
      <c r="K125" t="s">
        <v>708</v>
      </c>
      <c r="L125" t="s">
        <v>1003</v>
      </c>
      <c r="M125" t="str">
        <f t="shared" si="1"/>
        <v>, ('Table','accounts','TUserSessionCache','','CacheIdentifier','Utility','Security','Users','UserSessionCache','users-sessions-caches','{cache:guid}','A7F1EB01-D300-479D-9B05-294146C7A134')</v>
      </c>
    </row>
    <row r="126" spans="1:13" x14ac:dyDescent="0.25">
      <c r="A126" t="s">
        <v>57</v>
      </c>
      <c r="B126" t="s">
        <v>641</v>
      </c>
      <c r="C126" t="s">
        <v>682</v>
      </c>
      <c r="D126" t="s">
        <v>1266</v>
      </c>
      <c r="E126" t="s">
        <v>96</v>
      </c>
      <c r="F126" t="s">
        <v>687</v>
      </c>
      <c r="G126" t="s">
        <v>638</v>
      </c>
      <c r="H126" t="s">
        <v>744</v>
      </c>
      <c r="I126" t="s">
        <v>1267</v>
      </c>
      <c r="J126" t="s">
        <v>1268</v>
      </c>
      <c r="K126" t="s">
        <v>694</v>
      </c>
      <c r="L126" t="s">
        <v>1004</v>
      </c>
      <c r="M126" t="str">
        <f t="shared" si="1"/>
        <v>, ('Table','accounts','TUserSetting','TUserField','SettingIdentifier','Utility','Security','Users','UserField','users-fields','{setting:guid}','B6A24BDB-CE7A-43E4-9B66-6E0D486E11A6')</v>
      </c>
    </row>
    <row r="127" spans="1:13" x14ac:dyDescent="0.25">
      <c r="A127" t="s">
        <v>57</v>
      </c>
      <c r="B127" t="s">
        <v>315</v>
      </c>
      <c r="C127" t="s">
        <v>324</v>
      </c>
      <c r="D127" t="s">
        <v>1005</v>
      </c>
      <c r="E127" t="s">
        <v>302</v>
      </c>
      <c r="F127" t="s">
        <v>1213</v>
      </c>
      <c r="G127" t="s">
        <v>1214</v>
      </c>
      <c r="H127" t="s">
        <v>313</v>
      </c>
      <c r="I127" t="s">
        <v>322</v>
      </c>
      <c r="J127" t="s">
        <v>323</v>
      </c>
      <c r="K127" t="s">
        <v>711</v>
      </c>
      <c r="L127" t="s">
        <v>1006</v>
      </c>
      <c r="M127" t="str">
        <f t="shared" si="1"/>
        <v>, ('Table','achievements','TAchievementDepartment','TAchievementGroup','JoinIdentifier','Feature','Progress','Achievements','AchievementGroup','achievements-groups','{relationship:guid}','07A9A864-379A-4E62-B5C2-51060C2EA30F')</v>
      </c>
    </row>
    <row r="128" spans="1:13" x14ac:dyDescent="0.25">
      <c r="A128" t="s">
        <v>57</v>
      </c>
      <c r="B128" t="s">
        <v>315</v>
      </c>
      <c r="C128" t="s">
        <v>328</v>
      </c>
      <c r="E128" t="s">
        <v>329</v>
      </c>
      <c r="F128" t="s">
        <v>1213</v>
      </c>
      <c r="G128" t="s">
        <v>1214</v>
      </c>
      <c r="H128" t="s">
        <v>313</v>
      </c>
      <c r="I128" t="s">
        <v>325</v>
      </c>
      <c r="J128" t="s">
        <v>326</v>
      </c>
      <c r="K128" t="s">
        <v>327</v>
      </c>
      <c r="L128" t="s">
        <v>1007</v>
      </c>
      <c r="M128" t="str">
        <f t="shared" si="1"/>
        <v>, ('Table','achievements','TAchievementOrganization','','AchievementIdentifier,OrganizationIdentifier','Feature','Progress','Achievements','AchievementOrganization','achievements-organizations','{achievement:guid}/{organization:guid}','6ADBDB62-E5E4-4BB3-93F9-AB35BB80158A')</v>
      </c>
    </row>
    <row r="129" spans="1:13" x14ac:dyDescent="0.25">
      <c r="A129" t="s">
        <v>57</v>
      </c>
      <c r="B129" t="s">
        <v>4</v>
      </c>
      <c r="C129" t="s">
        <v>771</v>
      </c>
      <c r="D129" t="s">
        <v>1010</v>
      </c>
      <c r="E129" t="s">
        <v>848</v>
      </c>
      <c r="F129" t="s">
        <v>1213</v>
      </c>
      <c r="G129" t="s">
        <v>0</v>
      </c>
      <c r="H129" t="s">
        <v>1215</v>
      </c>
      <c r="I129" t="s">
        <v>839</v>
      </c>
      <c r="J129" t="s">
        <v>1269</v>
      </c>
      <c r="K129" t="s">
        <v>840</v>
      </c>
      <c r="L129" t="s">
        <v>770</v>
      </c>
      <c r="M129" t="str">
        <f t="shared" si="1"/>
        <v>, ('Table','assessments','TLearnerAttemptSummary','TLearnerFormAttempt','FormIdentifier,LearnerUserIdentifier','Feature','Assessment','Answers','LearnerFormAttempt','learners-forms-attempts','{learner:guid}/{form:guid}','DDAFFDE8-F181-4225-8570-4AD60142F11C')</v>
      </c>
    </row>
    <row r="130" spans="1:13" x14ac:dyDescent="0.25">
      <c r="A130" t="s">
        <v>57</v>
      </c>
      <c r="B130" t="s">
        <v>4</v>
      </c>
      <c r="C130" t="s">
        <v>773</v>
      </c>
      <c r="E130" t="s">
        <v>774</v>
      </c>
      <c r="F130" t="s">
        <v>1213</v>
      </c>
      <c r="G130" t="s">
        <v>0</v>
      </c>
      <c r="H130" t="s">
        <v>1216</v>
      </c>
      <c r="I130" t="s">
        <v>1011</v>
      </c>
      <c r="J130" t="s">
        <v>826</v>
      </c>
      <c r="K130" t="s">
        <v>827</v>
      </c>
      <c r="L130" t="s">
        <v>772</v>
      </c>
      <c r="M130" t="str">
        <f t="shared" ref="M130:M193" si="2">", ('" &amp; A130 &amp; "','" &amp; B130 &amp; "','" &amp; C130 &amp; "','" &amp; D130 &amp; "','" &amp; E130 &amp; "','" &amp; F130 &amp; "','" &amp; G130 &amp; "','" &amp; H130 &amp; "','" &amp; I130 &amp; "','" &amp; J130 &amp; "','" &amp; K130 &amp; "','" &amp; L130 &amp; "')"</f>
        <v>, ('Table','assessments','TQuiz','','QuizIdentifier','Feature','Assessment','Questions','Quiz','quizzes','{quiz:guid}','74FC0CF3-2C18-4C57-8E59-4F35F35E8EC4')</v>
      </c>
    </row>
    <row r="131" spans="1:13" x14ac:dyDescent="0.25">
      <c r="A131" t="s">
        <v>57</v>
      </c>
      <c r="B131" t="s">
        <v>4</v>
      </c>
      <c r="C131" t="s">
        <v>776</v>
      </c>
      <c r="E131" t="s">
        <v>6</v>
      </c>
      <c r="F131" t="s">
        <v>1213</v>
      </c>
      <c r="G131" t="s">
        <v>0</v>
      </c>
      <c r="H131" t="s">
        <v>1215</v>
      </c>
      <c r="I131" t="s">
        <v>1012</v>
      </c>
      <c r="J131" t="s">
        <v>841</v>
      </c>
      <c r="K131" t="s">
        <v>842</v>
      </c>
      <c r="L131" t="s">
        <v>775</v>
      </c>
      <c r="M131" t="str">
        <f t="shared" si="2"/>
        <v>, ('Table','assessments','TQuizAttempt','','AttemptIdentifier','Feature','Assessment','Answers','QuizAttempt','quizzes-attempts','{attempt:guid}','DA9D7CF1-B79E-426E-A49C-E8EA3679577F')</v>
      </c>
    </row>
    <row r="132" spans="1:13" x14ac:dyDescent="0.25">
      <c r="A132" t="s">
        <v>57</v>
      </c>
      <c r="B132" t="s">
        <v>122</v>
      </c>
      <c r="C132" t="s">
        <v>128</v>
      </c>
      <c r="E132" t="s">
        <v>129</v>
      </c>
      <c r="F132" t="s">
        <v>1213</v>
      </c>
      <c r="G132" t="s">
        <v>118</v>
      </c>
      <c r="H132" t="s">
        <v>125</v>
      </c>
      <c r="I132" t="s">
        <v>126</v>
      </c>
      <c r="J132" t="s">
        <v>127</v>
      </c>
      <c r="K132" t="s">
        <v>704</v>
      </c>
      <c r="L132" t="s">
        <v>1013</v>
      </c>
      <c r="M132" t="str">
        <f t="shared" si="2"/>
        <v>, ('Table','assets','TFile','','FileIdentifier','Feature','Content','Files','File','files','{file:guid}','4A5DC67E-418E-4002-87C4-0D2B6B1821B4')</v>
      </c>
    </row>
    <row r="133" spans="1:13" x14ac:dyDescent="0.25">
      <c r="A133" t="s">
        <v>57</v>
      </c>
      <c r="B133" t="s">
        <v>122</v>
      </c>
      <c r="C133" t="s">
        <v>132</v>
      </c>
      <c r="E133" t="s">
        <v>133</v>
      </c>
      <c r="F133" t="s">
        <v>1213</v>
      </c>
      <c r="G133" t="s">
        <v>118</v>
      </c>
      <c r="H133" t="s">
        <v>125</v>
      </c>
      <c r="I133" t="s">
        <v>130</v>
      </c>
      <c r="J133" t="s">
        <v>131</v>
      </c>
      <c r="K133" t="s">
        <v>698</v>
      </c>
      <c r="L133" t="s">
        <v>1014</v>
      </c>
      <c r="M133" t="str">
        <f t="shared" si="2"/>
        <v>, ('Table','assets','TFileActivity','','ActivityIdentifier','Feature','Content','Files','FileActivity','files-activities','{activity:guid}','3585DBB5-40CE-458F-A397-4841A2DBACE3')</v>
      </c>
    </row>
    <row r="134" spans="1:13" x14ac:dyDescent="0.25">
      <c r="A134" t="s">
        <v>57</v>
      </c>
      <c r="B134" t="s">
        <v>122</v>
      </c>
      <c r="C134" t="s">
        <v>136</v>
      </c>
      <c r="E134" t="s">
        <v>137</v>
      </c>
      <c r="F134" t="s">
        <v>1213</v>
      </c>
      <c r="G134" t="s">
        <v>118</v>
      </c>
      <c r="H134" t="s">
        <v>125</v>
      </c>
      <c r="I134" t="s">
        <v>134</v>
      </c>
      <c r="J134" t="s">
        <v>135</v>
      </c>
      <c r="K134" t="s">
        <v>699</v>
      </c>
      <c r="L134" t="s">
        <v>1015</v>
      </c>
      <c r="M134" t="str">
        <f t="shared" si="2"/>
        <v>, ('Table','assets','TFileClaim','','ClaimIdentifier','Feature','Content','Files','FileClaim','files-claims','{claim:guid}','9B26206E-E2E3-41D7-BC05-F8C1918C0BFB')</v>
      </c>
    </row>
    <row r="135" spans="1:13" x14ac:dyDescent="0.25">
      <c r="A135" t="s">
        <v>57</v>
      </c>
      <c r="B135" t="s">
        <v>750</v>
      </c>
      <c r="C135" t="s">
        <v>782</v>
      </c>
      <c r="E135" t="s">
        <v>783</v>
      </c>
      <c r="F135" t="s">
        <v>1213</v>
      </c>
      <c r="G135" t="s">
        <v>53</v>
      </c>
      <c r="H135" t="s">
        <v>812</v>
      </c>
      <c r="I135" t="s">
        <v>1017</v>
      </c>
      <c r="J135" t="s">
        <v>828</v>
      </c>
      <c r="K135" t="s">
        <v>829</v>
      </c>
      <c r="L135" s="2" t="s">
        <v>781</v>
      </c>
      <c r="M135" t="str">
        <f t="shared" si="2"/>
        <v>, ('Table','billing','TOrder','','OrderIdentifier','Feature','Billing','Orders','Order','orders','{order:guid}','6E587E5F-63DD-4358-97CF-F297E0D1A7AB')</v>
      </c>
    </row>
    <row r="136" spans="1:13" x14ac:dyDescent="0.25">
      <c r="A136" t="s">
        <v>57</v>
      </c>
      <c r="B136" t="s">
        <v>750</v>
      </c>
      <c r="C136" t="s">
        <v>77</v>
      </c>
      <c r="E136" t="s">
        <v>78</v>
      </c>
      <c r="F136" t="s">
        <v>1213</v>
      </c>
      <c r="G136" t="s">
        <v>53</v>
      </c>
      <c r="H136" t="s">
        <v>74</v>
      </c>
      <c r="I136" t="s">
        <v>75</v>
      </c>
      <c r="J136" t="s">
        <v>76</v>
      </c>
      <c r="K136" t="s">
        <v>1018</v>
      </c>
      <c r="L136" t="s">
        <v>1019</v>
      </c>
      <c r="M136" t="str">
        <f t="shared" si="2"/>
        <v>, ('Table','billing','TProduct','','ProductIdentifier','Feature','Billing','Products','Product','products','{product:guid}','09D2AA95-3014-4252-9F8E-A8C95C13561F')</v>
      </c>
    </row>
    <row r="137" spans="1:13" x14ac:dyDescent="0.25">
      <c r="A137" t="s">
        <v>57</v>
      </c>
      <c r="B137" t="s">
        <v>82</v>
      </c>
      <c r="C137" t="s">
        <v>345</v>
      </c>
      <c r="D137" t="s">
        <v>1020</v>
      </c>
      <c r="E137" t="s">
        <v>181</v>
      </c>
      <c r="F137" t="s">
        <v>1213</v>
      </c>
      <c r="G137" t="s">
        <v>1214</v>
      </c>
      <c r="H137" t="s">
        <v>335</v>
      </c>
      <c r="I137" t="s">
        <v>343</v>
      </c>
      <c r="J137" t="s">
        <v>344</v>
      </c>
      <c r="K137" t="s">
        <v>703</v>
      </c>
      <c r="L137" t="s">
        <v>1021</v>
      </c>
      <c r="M137" t="str">
        <f t="shared" si="2"/>
        <v>, ('Table','contacts','ContactExperience','TLearnerExperience','ExperienceIdentifier','Feature','Progress','Credentials','LearnerExperience','learners-experiences','{experience:guid}','5C955B84-03C6-4192-9A33-A8D0CC2E6B78')</v>
      </c>
    </row>
    <row r="138" spans="1:13" x14ac:dyDescent="0.25">
      <c r="A138" t="s">
        <v>57</v>
      </c>
      <c r="B138" t="s">
        <v>82</v>
      </c>
      <c r="C138" t="s">
        <v>653</v>
      </c>
      <c r="D138" t="s">
        <v>1024</v>
      </c>
      <c r="E138" t="s">
        <v>654</v>
      </c>
      <c r="F138" t="s">
        <v>687</v>
      </c>
      <c r="G138" t="s">
        <v>638</v>
      </c>
      <c r="H138" t="s">
        <v>742</v>
      </c>
      <c r="I138" t="s">
        <v>651</v>
      </c>
      <c r="J138" t="s">
        <v>652</v>
      </c>
      <c r="K138" t="s">
        <v>1025</v>
      </c>
      <c r="L138" t="s">
        <v>1026</v>
      </c>
      <c r="M138" t="str">
        <f t="shared" si="2"/>
        <v>, ('Table','contacts','TGroupPermission','TPermission','PermissionIdentifier','Utility','Security','Permissions','Permission','permissions','{permission:guid}','302D945C-61CC-40F0-BED7-B411D025FBFD')</v>
      </c>
    </row>
    <row r="139" spans="1:13" x14ac:dyDescent="0.25">
      <c r="A139" t="s">
        <v>57</v>
      </c>
      <c r="B139" t="s">
        <v>82</v>
      </c>
      <c r="C139" t="s">
        <v>95</v>
      </c>
      <c r="D139" t="s">
        <v>1270</v>
      </c>
      <c r="E139" t="s">
        <v>96</v>
      </c>
      <c r="F139" t="s">
        <v>1213</v>
      </c>
      <c r="G139" t="s">
        <v>1223</v>
      </c>
      <c r="H139" t="s">
        <v>79</v>
      </c>
      <c r="I139" t="s">
        <v>1271</v>
      </c>
      <c r="J139" t="s">
        <v>1272</v>
      </c>
      <c r="K139" t="s">
        <v>694</v>
      </c>
      <c r="L139" t="s">
        <v>1027</v>
      </c>
      <c r="M139" t="str">
        <f t="shared" si="2"/>
        <v>, ('Table','contacts','TGroupSetting','TGroupField','SettingIdentifier','Feature','Directory','Groups','GroupField','groups-fields','{setting:guid}','840D4698-8284-4144-AC3D-94C86B01DE29')</v>
      </c>
    </row>
    <row r="140" spans="1:13" x14ac:dyDescent="0.25">
      <c r="A140" t="s">
        <v>57</v>
      </c>
      <c r="B140" t="s">
        <v>82</v>
      </c>
      <c r="C140" t="s">
        <v>114</v>
      </c>
      <c r="E140" t="s">
        <v>115</v>
      </c>
      <c r="F140" t="s">
        <v>1213</v>
      </c>
      <c r="G140" t="s">
        <v>1223</v>
      </c>
      <c r="H140" t="s">
        <v>1224</v>
      </c>
      <c r="I140" t="s">
        <v>113</v>
      </c>
      <c r="J140" t="s">
        <v>1273</v>
      </c>
      <c r="K140" t="s">
        <v>694</v>
      </c>
      <c r="L140" t="s">
        <v>1028</v>
      </c>
      <c r="M140" t="str">
        <f t="shared" si="2"/>
        <v>, ('Table','contacts','TPersonField','','FieldIdentifier','Feature','Directory','People','PersonField','people-fields','{setting:guid}','CF17CD60-FA3E-442F-81BA-7BFB37F028A2')</v>
      </c>
    </row>
    <row r="141" spans="1:13" x14ac:dyDescent="0.25">
      <c r="A141" t="s">
        <v>57</v>
      </c>
      <c r="B141" t="s">
        <v>147</v>
      </c>
      <c r="C141" t="s">
        <v>148</v>
      </c>
      <c r="D141" t="s">
        <v>1274</v>
      </c>
      <c r="E141" t="s">
        <v>149</v>
      </c>
      <c r="F141" t="s">
        <v>1213</v>
      </c>
      <c r="G141" t="s">
        <v>118</v>
      </c>
      <c r="H141" t="s">
        <v>1275</v>
      </c>
      <c r="I141" t="s">
        <v>1276</v>
      </c>
      <c r="J141" t="s">
        <v>1277</v>
      </c>
      <c r="K141" t="s">
        <v>700</v>
      </c>
      <c r="L141" t="s">
        <v>1030</v>
      </c>
      <c r="M141" t="str">
        <f t="shared" si="2"/>
        <v>, ('Table','contents','TContent','TInput','ContentIdentifier','Feature','Content','Inputs','Input','inputs','{content:guid}','8B516A91-924E-4489-BAE5-2CD2930136A4')</v>
      </c>
    </row>
    <row r="142" spans="1:13" x14ac:dyDescent="0.25">
      <c r="A142" t="s">
        <v>57</v>
      </c>
      <c r="B142" t="s">
        <v>205</v>
      </c>
      <c r="C142" t="s">
        <v>605</v>
      </c>
      <c r="E142" t="s">
        <v>297</v>
      </c>
      <c r="F142" t="s">
        <v>535</v>
      </c>
      <c r="G142" t="s">
        <v>602</v>
      </c>
      <c r="H142" t="s">
        <v>604</v>
      </c>
      <c r="I142" t="s">
        <v>1278</v>
      </c>
      <c r="J142" t="s">
        <v>1279</v>
      </c>
      <c r="K142" t="s">
        <v>730</v>
      </c>
      <c r="L142" t="s">
        <v>1036</v>
      </c>
      <c r="M142" t="str">
        <f t="shared" si="2"/>
        <v>, ('Table','courses','TLtiLink','','LinkIdentifier','Plugin','Integration','Lti','LtiLink','lti-links','{link:guid}','1DBF8FD4-0F85-4972-8FFA-E0F202FA03CD')</v>
      </c>
    </row>
    <row r="143" spans="1:13" x14ac:dyDescent="0.25">
      <c r="A143" t="s">
        <v>57</v>
      </c>
      <c r="B143" t="s">
        <v>538</v>
      </c>
      <c r="C143" t="s">
        <v>548</v>
      </c>
      <c r="E143" t="s">
        <v>549</v>
      </c>
      <c r="F143" t="s">
        <v>535</v>
      </c>
      <c r="G143" t="s">
        <v>1229</v>
      </c>
      <c r="H143" t="s">
        <v>536</v>
      </c>
      <c r="I143" t="s">
        <v>547</v>
      </c>
      <c r="J143" t="s">
        <v>1280</v>
      </c>
      <c r="K143" t="s">
        <v>720</v>
      </c>
      <c r="L143" t="s">
        <v>1041</v>
      </c>
      <c r="M143" t="str">
        <f t="shared" si="2"/>
        <v>, ('Table','custom_cmds','TCollegeCertificate','','CertificateIdentifier','Plugin','Variant','CMDS','CollegeCertificate','colleges-certificates','{certificate:guid}','D88D357F-FED6-4082-8B1F-EB2E2AF7F724')</v>
      </c>
    </row>
    <row r="144" spans="1:13" x14ac:dyDescent="0.25">
      <c r="A144" t="s">
        <v>57</v>
      </c>
      <c r="B144" t="s">
        <v>538</v>
      </c>
      <c r="C144" t="s">
        <v>552</v>
      </c>
      <c r="D144" t="s">
        <v>1042</v>
      </c>
      <c r="E144" t="s">
        <v>302</v>
      </c>
      <c r="F144" t="s">
        <v>535</v>
      </c>
      <c r="G144" t="s">
        <v>1229</v>
      </c>
      <c r="H144" t="s">
        <v>536</v>
      </c>
      <c r="I144" t="s">
        <v>550</v>
      </c>
      <c r="J144" t="s">
        <v>551</v>
      </c>
      <c r="K144" t="s">
        <v>719</v>
      </c>
      <c r="L144" t="s">
        <v>1043</v>
      </c>
      <c r="M144" t="str">
        <f t="shared" si="2"/>
        <v>, ('Table','custom_cmds','TUserStatus','TLearnerMeasurement','JoinIdentifier','Plugin','Variant','CMDS','LearnerMeasurement','learners-measurements','{measurement:guid}','E1186507-9A8A-4B5F-9A4F-017C42B0971C')</v>
      </c>
    </row>
    <row r="145" spans="1:13" x14ac:dyDescent="0.25">
      <c r="A145" t="s">
        <v>57</v>
      </c>
      <c r="B145" t="s">
        <v>538</v>
      </c>
      <c r="C145" t="s">
        <v>555</v>
      </c>
      <c r="D145" t="s">
        <v>1044</v>
      </c>
      <c r="E145" t="s">
        <v>556</v>
      </c>
      <c r="F145" t="s">
        <v>535</v>
      </c>
      <c r="G145" t="s">
        <v>1229</v>
      </c>
      <c r="H145" t="s">
        <v>536</v>
      </c>
      <c r="I145" t="s">
        <v>553</v>
      </c>
      <c r="J145" t="s">
        <v>554</v>
      </c>
      <c r="K145" t="s">
        <v>718</v>
      </c>
      <c r="L145" t="s">
        <v>1045</v>
      </c>
      <c r="M145" t="str">
        <f t="shared" si="2"/>
        <v>, ('Table','custom_cmds','ZUserStatus','TLearnerSnapshot','SnapshotKey','Plugin','Variant','CMDS','LearnerSnapshot','learners-snapshots','{snapshot:guid}','3FCE5F96-F1F2-4528-B1EF-2A184E5073CF')</v>
      </c>
    </row>
    <row r="146" spans="1:13" x14ac:dyDescent="0.25">
      <c r="A146" t="s">
        <v>57</v>
      </c>
      <c r="B146" t="s">
        <v>538</v>
      </c>
      <c r="C146" t="s">
        <v>559</v>
      </c>
      <c r="D146" t="s">
        <v>1046</v>
      </c>
      <c r="E146" t="s">
        <v>353</v>
      </c>
      <c r="F146" t="s">
        <v>535</v>
      </c>
      <c r="G146" t="s">
        <v>1229</v>
      </c>
      <c r="H146" t="s">
        <v>536</v>
      </c>
      <c r="I146" t="s">
        <v>557</v>
      </c>
      <c r="J146" t="s">
        <v>558</v>
      </c>
      <c r="K146" t="s">
        <v>717</v>
      </c>
      <c r="L146" t="s">
        <v>1047</v>
      </c>
      <c r="M146" t="str">
        <f t="shared" si="2"/>
        <v>, ('Table','custom_cmds','ZUserStatusSummary','TLearnerSnapshotSummary','SummaryIdentifier','Plugin','Variant','CMDS','LearnerSnapshotSummary','learners-snapshots-summaries','{summary:guid}','08015354-A5DC-45D1-A9F0-B445457EFAA8')</v>
      </c>
    </row>
    <row r="147" spans="1:13" x14ac:dyDescent="0.25">
      <c r="A147" t="s">
        <v>57</v>
      </c>
      <c r="B147" t="s">
        <v>596</v>
      </c>
      <c r="C147" t="s">
        <v>597</v>
      </c>
      <c r="D147" t="s">
        <v>1048</v>
      </c>
      <c r="E147" t="s">
        <v>598</v>
      </c>
      <c r="F147" t="s">
        <v>535</v>
      </c>
      <c r="G147" t="s">
        <v>1229</v>
      </c>
      <c r="H147" t="s">
        <v>593</v>
      </c>
      <c r="I147" t="s">
        <v>594</v>
      </c>
      <c r="J147" t="s">
        <v>595</v>
      </c>
      <c r="K147" t="s">
        <v>1049</v>
      </c>
      <c r="L147" t="s">
        <v>1050</v>
      </c>
      <c r="M147" t="str">
        <f t="shared" si="2"/>
        <v>, ('Table','custom_ita','ExamDistributionRequest','TDistribution','RequestIdentifier','Plugin','Variant','SkilledTradesBC','Distribution','distributions','{distribution:guid}','F77D8A83-C1B5-4730-8252-A58FFC6100DC')</v>
      </c>
    </row>
    <row r="148" spans="1:13" x14ac:dyDescent="0.25">
      <c r="A148" t="s">
        <v>57</v>
      </c>
      <c r="B148" t="s">
        <v>596</v>
      </c>
      <c r="C148" t="s">
        <v>599</v>
      </c>
      <c r="D148" t="s">
        <v>1051</v>
      </c>
      <c r="E148" t="s">
        <v>601</v>
      </c>
      <c r="F148" t="s">
        <v>535</v>
      </c>
      <c r="G148" t="s">
        <v>1229</v>
      </c>
      <c r="H148" t="s">
        <v>593</v>
      </c>
      <c r="I148" t="s">
        <v>599</v>
      </c>
      <c r="J148" t="s">
        <v>600</v>
      </c>
      <c r="K148" t="s">
        <v>1052</v>
      </c>
      <c r="L148" t="s">
        <v>1053</v>
      </c>
      <c r="M148" t="str">
        <f t="shared" si="2"/>
        <v>, ('Table','custom_ita','Individual','TIndividual','IndividualKey','Plugin','Variant','SkilledTradesBC','Individual','individuals','{individual:guid}','38892879-21A5-4815-ADAE-781499135C94')</v>
      </c>
    </row>
    <row r="149" spans="1:13" x14ac:dyDescent="0.25">
      <c r="A149" t="s">
        <v>57</v>
      </c>
      <c r="B149" t="s">
        <v>565</v>
      </c>
      <c r="C149" t="s">
        <v>566</v>
      </c>
      <c r="D149" t="s">
        <v>1281</v>
      </c>
      <c r="E149" t="s">
        <v>567</v>
      </c>
      <c r="F149" t="s">
        <v>535</v>
      </c>
      <c r="G149" t="s">
        <v>1229</v>
      </c>
      <c r="H149" t="s">
        <v>564</v>
      </c>
      <c r="I149" t="s">
        <v>1282</v>
      </c>
      <c r="J149" t="s">
        <v>1283</v>
      </c>
      <c r="K149" t="s">
        <v>714</v>
      </c>
      <c r="L149" t="s">
        <v>1054</v>
      </c>
      <c r="M149" t="str">
        <f t="shared" si="2"/>
        <v>, ('Table','custom_ncsha','AbProgram','TSurveyAB','AbProgramID','Plugin','Variant','NCSHA','SurveyAB','surveys-ab','{report:guid}','1DAC5E0B-177A-4109-8B70-C411AE57AC2A')</v>
      </c>
    </row>
    <row r="150" spans="1:13" x14ac:dyDescent="0.25">
      <c r="A150" t="s">
        <v>57</v>
      </c>
      <c r="B150" t="s">
        <v>565</v>
      </c>
      <c r="C150" t="s">
        <v>568</v>
      </c>
      <c r="D150" t="s">
        <v>1284</v>
      </c>
      <c r="E150" t="s">
        <v>570</v>
      </c>
      <c r="F150" t="s">
        <v>535</v>
      </c>
      <c r="G150" t="s">
        <v>1229</v>
      </c>
      <c r="H150" t="s">
        <v>564</v>
      </c>
      <c r="I150" t="s">
        <v>568</v>
      </c>
      <c r="J150" t="s">
        <v>569</v>
      </c>
      <c r="K150" t="s">
        <v>1055</v>
      </c>
      <c r="L150" t="s">
        <v>1056</v>
      </c>
      <c r="M150" t="str">
        <f t="shared" si="2"/>
        <v>, ('Table','custom_ncsha','Counter','TCounter','CounterIdentifier','Plugin','Variant','NCSHA','Counter','counters','{counter:guid}','5D3443B8-6200-426F-9D12-B5BC4F0757F1')</v>
      </c>
    </row>
    <row r="151" spans="1:13" x14ac:dyDescent="0.25">
      <c r="A151" t="s">
        <v>57</v>
      </c>
      <c r="B151" t="s">
        <v>565</v>
      </c>
      <c r="C151" t="s">
        <v>571</v>
      </c>
      <c r="D151" t="s">
        <v>1285</v>
      </c>
      <c r="E151" t="s">
        <v>572</v>
      </c>
      <c r="F151" t="s">
        <v>535</v>
      </c>
      <c r="G151" t="s">
        <v>1229</v>
      </c>
      <c r="H151" t="s">
        <v>564</v>
      </c>
      <c r="I151" t="s">
        <v>1286</v>
      </c>
      <c r="J151" t="s">
        <v>1287</v>
      </c>
      <c r="K151" t="s">
        <v>734</v>
      </c>
      <c r="L151" s="2" t="s">
        <v>1057</v>
      </c>
      <c r="M151" t="str">
        <f t="shared" si="2"/>
        <v>, ('Table','custom_ncsha','Field','TReportField','Code','Plugin','Variant','NCSHA','ReportField','reports-fields','{field:guid}','4E274996-AE6D-44BE-81D8-ADFDAEB67118')</v>
      </c>
    </row>
    <row r="152" spans="1:13" x14ac:dyDescent="0.25">
      <c r="A152" t="s">
        <v>57</v>
      </c>
      <c r="B152" t="s">
        <v>565</v>
      </c>
      <c r="C152" t="s">
        <v>573</v>
      </c>
      <c r="D152" t="s">
        <v>1288</v>
      </c>
      <c r="E152" t="s">
        <v>574</v>
      </c>
      <c r="F152" t="s">
        <v>535</v>
      </c>
      <c r="G152" t="s">
        <v>1229</v>
      </c>
      <c r="H152" t="s">
        <v>564</v>
      </c>
      <c r="I152" t="s">
        <v>1289</v>
      </c>
      <c r="J152" t="s">
        <v>1290</v>
      </c>
      <c r="K152" t="s">
        <v>1058</v>
      </c>
      <c r="L152" t="s">
        <v>1059</v>
      </c>
      <c r="M152" t="str">
        <f t="shared" si="2"/>
        <v>, ('Table','custom_ncsha','Filter','TReportFilter','FilterID','Plugin','Variant','NCSHA','ReportFilter','reports-filters','{filter:guid}','EAF39E27-F397-4B95-98E0-7C53CFB486CE')</v>
      </c>
    </row>
    <row r="153" spans="1:13" x14ac:dyDescent="0.25">
      <c r="A153" t="s">
        <v>57</v>
      </c>
      <c r="B153" t="s">
        <v>565</v>
      </c>
      <c r="C153" t="s">
        <v>578</v>
      </c>
      <c r="D153" t="s">
        <v>1291</v>
      </c>
      <c r="E153" t="s">
        <v>579</v>
      </c>
      <c r="F153" t="s">
        <v>535</v>
      </c>
      <c r="G153" t="s">
        <v>1229</v>
      </c>
      <c r="H153" t="s">
        <v>564</v>
      </c>
      <c r="I153" t="s">
        <v>1292</v>
      </c>
      <c r="J153" t="s">
        <v>1293</v>
      </c>
      <c r="K153" t="s">
        <v>714</v>
      </c>
      <c r="L153" t="s">
        <v>1060</v>
      </c>
      <c r="M153" t="str">
        <f t="shared" si="2"/>
        <v>, ('Table','custom_ncsha','HcProgram','TSurveyHC','HcProgramID','Plugin','Variant','NCSHA','SurveyHC','surveys-hc','{report:guid}','EEB36FA7-BF72-46A7-BFD9-1D56BF3849F0')</v>
      </c>
    </row>
    <row r="154" spans="1:13" x14ac:dyDescent="0.25">
      <c r="A154" t="s">
        <v>57</v>
      </c>
      <c r="B154" t="s">
        <v>565</v>
      </c>
      <c r="C154" t="s">
        <v>580</v>
      </c>
      <c r="D154" t="s">
        <v>1294</v>
      </c>
      <c r="E154" t="s">
        <v>581</v>
      </c>
      <c r="F154" t="s">
        <v>535</v>
      </c>
      <c r="G154" t="s">
        <v>1229</v>
      </c>
      <c r="H154" t="s">
        <v>564</v>
      </c>
      <c r="I154" t="s">
        <v>1295</v>
      </c>
      <c r="J154" t="s">
        <v>1296</v>
      </c>
      <c r="K154" t="s">
        <v>714</v>
      </c>
      <c r="L154" t="s">
        <v>1061</v>
      </c>
      <c r="M154" t="str">
        <f t="shared" si="2"/>
        <v>, ('Table','custom_ncsha','HiProgram','TSurveyHI','HiProgramID','Plugin','Variant','NCSHA','SurveyHI','surveys-hi','{report:guid}','4E2D643A-8354-4615-BBBE-7390A548E001')</v>
      </c>
    </row>
    <row r="155" spans="1:13" x14ac:dyDescent="0.25">
      <c r="A155" t="s">
        <v>57</v>
      </c>
      <c r="B155" t="s">
        <v>565</v>
      </c>
      <c r="C155" t="s">
        <v>583</v>
      </c>
      <c r="D155" t="s">
        <v>1297</v>
      </c>
      <c r="E155" t="s">
        <v>584</v>
      </c>
      <c r="F155" t="s">
        <v>535</v>
      </c>
      <c r="G155" t="s">
        <v>1229</v>
      </c>
      <c r="H155" t="s">
        <v>564</v>
      </c>
      <c r="I155" t="s">
        <v>1298</v>
      </c>
      <c r="J155" t="s">
        <v>1299</v>
      </c>
      <c r="K155" t="s">
        <v>716</v>
      </c>
      <c r="L155" t="s">
        <v>1062</v>
      </c>
      <c r="M155" t="str">
        <f t="shared" si="2"/>
        <v>, ('Table','custom_ncsha','History','TReportChange','RecordID','Plugin','Variant','NCSHA','ReportChange','reports-changes','{log:guid}','BC02779B-8F2D-4938-A398-5B46ECAB3F19')</v>
      </c>
    </row>
    <row r="156" spans="1:13" x14ac:dyDescent="0.25">
      <c r="A156" t="s">
        <v>57</v>
      </c>
      <c r="B156" t="s">
        <v>565</v>
      </c>
      <c r="C156" t="s">
        <v>587</v>
      </c>
      <c r="D156" t="s">
        <v>1300</v>
      </c>
      <c r="E156" t="s">
        <v>588</v>
      </c>
      <c r="F156" t="s">
        <v>535</v>
      </c>
      <c r="G156" t="s">
        <v>1229</v>
      </c>
      <c r="H156" t="s">
        <v>564</v>
      </c>
      <c r="I156" t="s">
        <v>1301</v>
      </c>
      <c r="J156" t="s">
        <v>1302</v>
      </c>
      <c r="K156" t="s">
        <v>714</v>
      </c>
      <c r="L156" t="s">
        <v>1063</v>
      </c>
      <c r="M156" t="str">
        <f t="shared" si="2"/>
        <v>, ('Table','custom_ncsha','MfProgram','TSurveyMF','MfProgramID','Plugin','Variant','NCSHA','SurveyMF','surveys-mf','{report:guid}','E87BDA4C-BA87-431D-8D83-BCC168DB20C0')</v>
      </c>
    </row>
    <row r="157" spans="1:13" x14ac:dyDescent="0.25">
      <c r="A157" t="s">
        <v>57</v>
      </c>
      <c r="B157" t="s">
        <v>565</v>
      </c>
      <c r="C157" t="s">
        <v>589</v>
      </c>
      <c r="D157" t="s">
        <v>1303</v>
      </c>
      <c r="E157" t="s">
        <v>590</v>
      </c>
      <c r="F157" t="s">
        <v>535</v>
      </c>
      <c r="G157" t="s">
        <v>1229</v>
      </c>
      <c r="H157" t="s">
        <v>564</v>
      </c>
      <c r="I157" t="s">
        <v>1304</v>
      </c>
      <c r="J157" t="s">
        <v>1305</v>
      </c>
      <c r="K157" t="s">
        <v>714</v>
      </c>
      <c r="L157" t="s">
        <v>1064</v>
      </c>
      <c r="M157" t="str">
        <f t="shared" si="2"/>
        <v>, ('Table','custom_ncsha','MrProgram','TSurveyMR','MrProgramID','Plugin','Variant','NCSHA','SurveyMR','surveys-mr','{report:guid}','71E3A888-33E5-4BD2-AD38-EFF5F30B632A')</v>
      </c>
    </row>
    <row r="158" spans="1:13" x14ac:dyDescent="0.25">
      <c r="A158" t="s">
        <v>57</v>
      </c>
      <c r="B158" t="s">
        <v>565</v>
      </c>
      <c r="C158" t="s">
        <v>591</v>
      </c>
      <c r="D158" t="s">
        <v>1306</v>
      </c>
      <c r="E158" t="s">
        <v>592</v>
      </c>
      <c r="F158" t="s">
        <v>535</v>
      </c>
      <c r="G158" t="s">
        <v>1229</v>
      </c>
      <c r="H158" t="s">
        <v>564</v>
      </c>
      <c r="I158" t="s">
        <v>1307</v>
      </c>
      <c r="J158" t="s">
        <v>1308</v>
      </c>
      <c r="K158" t="s">
        <v>714</v>
      </c>
      <c r="L158" t="s">
        <v>1065</v>
      </c>
      <c r="M158" t="str">
        <f t="shared" si="2"/>
        <v>, ('Table','custom_ncsha','PaProgram','TSurveyPA','PaProgramID','Plugin','Variant','NCSHA','SurveyPA','surveys-pa','{report:guid}','9EDAB82D-1B12-4F75-AE3D-3B66D8F1C13A')</v>
      </c>
    </row>
    <row r="159" spans="1:13" x14ac:dyDescent="0.25">
      <c r="A159" t="s">
        <v>57</v>
      </c>
      <c r="B159" t="s">
        <v>565</v>
      </c>
      <c r="C159" t="s">
        <v>575</v>
      </c>
      <c r="D159" t="s">
        <v>1309</v>
      </c>
      <c r="E159" t="s">
        <v>576</v>
      </c>
      <c r="F159" t="s">
        <v>535</v>
      </c>
      <c r="G159" t="s">
        <v>1229</v>
      </c>
      <c r="H159" t="s">
        <v>564</v>
      </c>
      <c r="I159" t="s">
        <v>1310</v>
      </c>
      <c r="J159" t="s">
        <v>1311</v>
      </c>
      <c r="K159" t="s">
        <v>1066</v>
      </c>
      <c r="L159" s="2" t="s">
        <v>1067</v>
      </c>
      <c r="M159" t="str">
        <f t="shared" si="2"/>
        <v>, ('Table','custom_ncsha','ProgramFolder','TReportFolder','ProgramFolderID','Plugin','Variant','NCSHA','ReportFolder','reports-folders','{folder:guid}','4A0B8BBE-B1DC-4030-BEFC-EBAD582C54BE')</v>
      </c>
    </row>
    <row r="160" spans="1:13" x14ac:dyDescent="0.25">
      <c r="A160" t="s">
        <v>57</v>
      </c>
      <c r="B160" t="s">
        <v>565</v>
      </c>
      <c r="C160" t="s">
        <v>577</v>
      </c>
      <c r="D160" t="s">
        <v>1312</v>
      </c>
      <c r="E160" t="s">
        <v>124</v>
      </c>
      <c r="F160" t="s">
        <v>535</v>
      </c>
      <c r="G160" t="s">
        <v>1229</v>
      </c>
      <c r="H160" t="s">
        <v>564</v>
      </c>
      <c r="I160" t="s">
        <v>1313</v>
      </c>
      <c r="J160" t="s">
        <v>1314</v>
      </c>
      <c r="K160" t="s">
        <v>710</v>
      </c>
      <c r="L160" t="s">
        <v>1068</v>
      </c>
      <c r="M160" t="str">
        <f t="shared" si="2"/>
        <v>, ('Table','custom_ncsha','ProgramFolderComment','TReportFolderComment','CommentIdentifier','Plugin','Variant','NCSHA','ReportFolderComment','reports-folders-comments','{comment:guid}','CA2993B2-9B03-4CEC-A442-92490A14CF3F')</v>
      </c>
    </row>
    <row r="161" spans="1:13" x14ac:dyDescent="0.25">
      <c r="A161" t="s">
        <v>57</v>
      </c>
      <c r="B161" t="s">
        <v>565</v>
      </c>
      <c r="C161" t="s">
        <v>585</v>
      </c>
      <c r="E161" t="s">
        <v>586</v>
      </c>
      <c r="F161" t="s">
        <v>535</v>
      </c>
      <c r="G161" t="s">
        <v>1229</v>
      </c>
      <c r="H161" t="s">
        <v>564</v>
      </c>
      <c r="I161" t="s">
        <v>1315</v>
      </c>
      <c r="J161" t="s">
        <v>1316</v>
      </c>
      <c r="K161" t="s">
        <v>715</v>
      </c>
      <c r="L161" t="s">
        <v>1069</v>
      </c>
      <c r="M161" t="str">
        <f t="shared" si="2"/>
        <v>, ('Table','custom_ncsha','TReportMapping','','MappingIdentifier','Plugin','Variant','NCSHA','ReportMapping','reports-mappings','{mapping:guid}','F0A69C4F-C1CB-42C1-8234-6406FC60C112')</v>
      </c>
    </row>
    <row r="162" spans="1:13" x14ac:dyDescent="0.25">
      <c r="A162" t="s">
        <v>57</v>
      </c>
      <c r="B162" t="s">
        <v>89</v>
      </c>
      <c r="C162" t="s">
        <v>644</v>
      </c>
      <c r="D162" t="s">
        <v>1070</v>
      </c>
      <c r="E162" t="s">
        <v>646</v>
      </c>
      <c r="F162" t="s">
        <v>687</v>
      </c>
      <c r="G162" t="s">
        <v>638</v>
      </c>
      <c r="H162" t="s">
        <v>740</v>
      </c>
      <c r="I162" t="s">
        <v>644</v>
      </c>
      <c r="J162" t="s">
        <v>645</v>
      </c>
      <c r="K162" t="s">
        <v>1071</v>
      </c>
      <c r="L162" t="s">
        <v>1072</v>
      </c>
      <c r="M162" t="str">
        <f t="shared" si="2"/>
        <v>, ('Table','identities','Impersonation','TImpersonation','ImpersonationIdentifier','Utility','Security','Impersonations','Impersonation','impersonations','{impersonation:guid}','A5CC652B-9C39-41FB-B161-C5D1014CA028')</v>
      </c>
    </row>
    <row r="163" spans="1:13" x14ac:dyDescent="0.25">
      <c r="A163" t="s">
        <v>57</v>
      </c>
      <c r="B163" t="s">
        <v>675</v>
      </c>
      <c r="C163" t="s">
        <v>676</v>
      </c>
      <c r="E163" t="s">
        <v>677</v>
      </c>
      <c r="F163" t="s">
        <v>687</v>
      </c>
      <c r="G163" t="s">
        <v>638</v>
      </c>
      <c r="H163" t="s">
        <v>744</v>
      </c>
      <c r="I163" t="s">
        <v>673</v>
      </c>
      <c r="J163" t="s">
        <v>674</v>
      </c>
      <c r="K163" t="s">
        <v>709</v>
      </c>
      <c r="L163" t="s">
        <v>1074</v>
      </c>
      <c r="M163" t="str">
        <f t="shared" si="2"/>
        <v>, ('Table','identity','TUserSession','','SessionIdentifier','Utility','Security','Users','UserSession','users-sessions','{session:guid}','E7055815-385A-4F23-86D0-71B6C350A393')</v>
      </c>
    </row>
    <row r="164" spans="1:13" x14ac:dyDescent="0.25">
      <c r="A164" t="s">
        <v>57</v>
      </c>
      <c r="B164" t="s">
        <v>749</v>
      </c>
      <c r="C164" t="s">
        <v>793</v>
      </c>
      <c r="D164" t="s">
        <v>1317</v>
      </c>
      <c r="E164" t="s">
        <v>392</v>
      </c>
      <c r="F164" t="s">
        <v>535</v>
      </c>
      <c r="G164" t="s">
        <v>602</v>
      </c>
      <c r="H164" t="s">
        <v>813</v>
      </c>
      <c r="I164" t="s">
        <v>1318</v>
      </c>
      <c r="J164" t="s">
        <v>1319</v>
      </c>
      <c r="K164" t="s">
        <v>832</v>
      </c>
      <c r="L164" t="s">
        <v>792</v>
      </c>
      <c r="M164" t="str">
        <f t="shared" si="2"/>
        <v>, ('Table','integration','TMoodleEvent','TMoodleChange','EventIdentifier','Plugin','Integration','Moodle','MoodleChange','moodle-changes','{event:guid}','B72114B0-213E-452D-8BAF-81213D597528')</v>
      </c>
    </row>
    <row r="165" spans="1:13" x14ac:dyDescent="0.25">
      <c r="A165" t="s">
        <v>57</v>
      </c>
      <c r="B165" t="s">
        <v>749</v>
      </c>
      <c r="C165" t="s">
        <v>795</v>
      </c>
      <c r="D165" t="s">
        <v>1320</v>
      </c>
      <c r="E165" t="s">
        <v>392</v>
      </c>
      <c r="F165" t="s">
        <v>535</v>
      </c>
      <c r="G165" t="s">
        <v>602</v>
      </c>
      <c r="H165" t="s">
        <v>606</v>
      </c>
      <c r="I165" t="s">
        <v>1321</v>
      </c>
      <c r="J165" t="s">
        <v>1322</v>
      </c>
      <c r="K165" t="s">
        <v>832</v>
      </c>
      <c r="L165" t="s">
        <v>794</v>
      </c>
      <c r="M165" t="str">
        <f t="shared" si="2"/>
        <v>, ('Table','integration','TScormEvent','TScormChange','EventIdentifier','Plugin','Integration','Scorm','ScormChange','scorm-changes','{event:guid}','A3D2589F-6738-40B8-BB47-B04F2FB75054')</v>
      </c>
    </row>
    <row r="166" spans="1:13" x14ac:dyDescent="0.25">
      <c r="A166" t="s">
        <v>57</v>
      </c>
      <c r="B166" t="s">
        <v>749</v>
      </c>
      <c r="C166" t="s">
        <v>608</v>
      </c>
      <c r="E166" t="s">
        <v>609</v>
      </c>
      <c r="F166" t="s">
        <v>535</v>
      </c>
      <c r="G166" t="s">
        <v>602</v>
      </c>
      <c r="H166" t="s">
        <v>606</v>
      </c>
      <c r="I166" t="s">
        <v>607</v>
      </c>
      <c r="J166" t="s">
        <v>748</v>
      </c>
      <c r="K166" t="s">
        <v>713</v>
      </c>
      <c r="L166" t="s">
        <v>1075</v>
      </c>
      <c r="M166" t="str">
        <f t="shared" si="2"/>
        <v>, ('Table','integration','TScormRegistration','','ScormRegistrationIdentifier','Plugin','Integration','Scorm','ScormRegistration','scorm-registrations','{registration:guid}','6B6C2CC3-86D6-4EE3-9BF3-11B0EDD76D75')</v>
      </c>
    </row>
    <row r="167" spans="1:13" x14ac:dyDescent="0.25">
      <c r="A167" t="s">
        <v>57</v>
      </c>
      <c r="B167" t="s">
        <v>749</v>
      </c>
      <c r="C167" t="s">
        <v>797</v>
      </c>
      <c r="E167" t="s">
        <v>302</v>
      </c>
      <c r="F167" t="s">
        <v>535</v>
      </c>
      <c r="G167" t="s">
        <v>602</v>
      </c>
      <c r="H167" t="s">
        <v>606</v>
      </c>
      <c r="I167" t="s">
        <v>1076</v>
      </c>
      <c r="J167" t="s">
        <v>831</v>
      </c>
      <c r="K167" t="s">
        <v>711</v>
      </c>
      <c r="L167" t="s">
        <v>796</v>
      </c>
      <c r="M167" t="str">
        <f t="shared" si="2"/>
        <v>, ('Table','integration','TScormRegistrationActivity','','JoinIdentifier','Plugin','Integration','Scorm','ScormRegistrationActivity','scorm-registrations-activities','{relationship:guid}','A98717D5-C565-4FBE-A255-6BC56D3E2115')</v>
      </c>
    </row>
    <row r="168" spans="1:13" x14ac:dyDescent="0.25">
      <c r="A168" t="s">
        <v>57</v>
      </c>
      <c r="B168" t="s">
        <v>749</v>
      </c>
      <c r="C168" t="s">
        <v>610</v>
      </c>
      <c r="D168" t="s">
        <v>1323</v>
      </c>
      <c r="E168" t="s">
        <v>611</v>
      </c>
      <c r="F168" t="s">
        <v>535</v>
      </c>
      <c r="G168" t="s">
        <v>602</v>
      </c>
      <c r="H168" t="s">
        <v>1324</v>
      </c>
      <c r="I168" t="s">
        <v>1325</v>
      </c>
      <c r="J168" t="s">
        <v>1326</v>
      </c>
      <c r="K168" t="s">
        <v>1077</v>
      </c>
      <c r="L168" t="s">
        <v>1078</v>
      </c>
      <c r="M168" t="str">
        <f t="shared" si="2"/>
        <v>, ('Table','integration','TScormStatement','TXapiChange','StatementIdentifier','Plugin','Integration','Xapi','XapiChange','xapi-changes','{statement:guid}','F2CACD87-FEC9-4AA3-ABE5-AB43982439BB')</v>
      </c>
    </row>
    <row r="169" spans="1:13" x14ac:dyDescent="0.25">
      <c r="A169" t="s">
        <v>57</v>
      </c>
      <c r="B169" t="s">
        <v>514</v>
      </c>
      <c r="C169" t="s">
        <v>530</v>
      </c>
      <c r="D169" t="s">
        <v>1079</v>
      </c>
      <c r="E169" t="s">
        <v>531</v>
      </c>
      <c r="F169" t="s">
        <v>1213</v>
      </c>
      <c r="G169" t="s">
        <v>510</v>
      </c>
      <c r="H169" t="s">
        <v>511</v>
      </c>
      <c r="I169" t="s">
        <v>528</v>
      </c>
      <c r="J169" t="s">
        <v>529</v>
      </c>
      <c r="K169" t="s">
        <v>711</v>
      </c>
      <c r="L169" t="s">
        <v>1080</v>
      </c>
      <c r="M169" t="str">
        <f t="shared" si="2"/>
        <v>, ('Table','issues','TIssueStatus','TCaseStatus','StatusIdentifier','Feature','Workflow','Cases','CaseStatus','cases-statuses','{relationship:guid}','863B524E-86A5-42EE-83F5-0D3C4779F203')</v>
      </c>
    </row>
    <row r="170" spans="1:13" x14ac:dyDescent="0.25">
      <c r="A170" t="s">
        <v>57</v>
      </c>
      <c r="B170" t="s">
        <v>170</v>
      </c>
      <c r="C170" t="s">
        <v>171</v>
      </c>
      <c r="D170" t="s">
        <v>1327</v>
      </c>
      <c r="E170" t="s">
        <v>172</v>
      </c>
      <c r="F170" t="s">
        <v>1213</v>
      </c>
      <c r="G170" t="s">
        <v>169</v>
      </c>
      <c r="H170" t="s">
        <v>1328</v>
      </c>
      <c r="I170" t="s">
        <v>1329</v>
      </c>
      <c r="J170" t="s">
        <v>1330</v>
      </c>
      <c r="K170" t="s">
        <v>1081</v>
      </c>
      <c r="L170" t="s">
        <v>1082</v>
      </c>
      <c r="M170" t="str">
        <f t="shared" si="2"/>
        <v>, ('Table','jobs','TApplication','TApplicant','ApplicationIdentifier','Feature','Job','Applicants','Applicant','applicants','{application:guid}','CA19FCDB-ECF5-4790-A864-8971C176746A')</v>
      </c>
    </row>
    <row r="171" spans="1:13" x14ac:dyDescent="0.25">
      <c r="A171" t="s">
        <v>57</v>
      </c>
      <c r="B171" t="s">
        <v>170</v>
      </c>
      <c r="C171" t="s">
        <v>176</v>
      </c>
      <c r="E171" t="s">
        <v>177</v>
      </c>
      <c r="F171" t="s">
        <v>1213</v>
      </c>
      <c r="G171" t="s">
        <v>169</v>
      </c>
      <c r="H171" t="s">
        <v>173</v>
      </c>
      <c r="I171" t="s">
        <v>174</v>
      </c>
      <c r="J171" t="s">
        <v>175</v>
      </c>
      <c r="K171" t="s">
        <v>702</v>
      </c>
      <c r="L171" t="s">
        <v>1083</v>
      </c>
      <c r="M171" t="str">
        <f t="shared" si="2"/>
        <v>, ('Table','jobs','TCandidateEducation','','EducationIdentifier','Feature','Job','Candidates','CandidateEducation','candidates-educations','{education:guid}','D2F9D359-0171-4DF9-ACF0-0E7C40C6B9AE')</v>
      </c>
    </row>
    <row r="172" spans="1:13" x14ac:dyDescent="0.25">
      <c r="A172" t="s">
        <v>57</v>
      </c>
      <c r="B172" t="s">
        <v>170</v>
      </c>
      <c r="C172" t="s">
        <v>180</v>
      </c>
      <c r="E172" t="s">
        <v>181</v>
      </c>
      <c r="F172" t="s">
        <v>1213</v>
      </c>
      <c r="G172" t="s">
        <v>169</v>
      </c>
      <c r="H172" t="s">
        <v>173</v>
      </c>
      <c r="I172" t="s">
        <v>178</v>
      </c>
      <c r="J172" t="s">
        <v>179</v>
      </c>
      <c r="K172" t="s">
        <v>703</v>
      </c>
      <c r="L172" t="s">
        <v>1084</v>
      </c>
      <c r="M172" t="str">
        <f t="shared" si="2"/>
        <v>, ('Table','jobs','TCandidateExperience','','ExperienceIdentifier','Feature','Job','Candidates','CandidateExperience','candidates-experiences','{experience:guid}','CFDCFE2C-F37C-4B39-8E4E-1065AECB6E3C')</v>
      </c>
    </row>
    <row r="173" spans="1:13" x14ac:dyDescent="0.25">
      <c r="A173" t="s">
        <v>57</v>
      </c>
      <c r="B173" t="s">
        <v>170</v>
      </c>
      <c r="C173" t="s">
        <v>184</v>
      </c>
      <c r="E173" t="s">
        <v>185</v>
      </c>
      <c r="F173" t="s">
        <v>1213</v>
      </c>
      <c r="G173" t="s">
        <v>169</v>
      </c>
      <c r="H173" t="s">
        <v>173</v>
      </c>
      <c r="I173" t="s">
        <v>182</v>
      </c>
      <c r="J173" t="s">
        <v>183</v>
      </c>
      <c r="K173" t="s">
        <v>692</v>
      </c>
      <c r="L173" t="s">
        <v>1085</v>
      </c>
      <c r="M173" t="str">
        <f t="shared" si="2"/>
        <v>, ('Table','jobs','TCandidateExperienceItem','','ExperienceItemIdentifier','Feature','Job','Candidates','CandidateExperienceItem','candidates-experiences-items','{item:guid}','8C046922-DC58-4AA9-92B6-F4748D570B33')</v>
      </c>
    </row>
    <row r="174" spans="1:13" x14ac:dyDescent="0.25">
      <c r="A174" t="s">
        <v>57</v>
      </c>
      <c r="B174" t="s">
        <v>170</v>
      </c>
      <c r="C174" t="s">
        <v>190</v>
      </c>
      <c r="E174" t="s">
        <v>191</v>
      </c>
      <c r="F174" t="s">
        <v>1213</v>
      </c>
      <c r="G174" t="s">
        <v>169</v>
      </c>
      <c r="H174" t="s">
        <v>173</v>
      </c>
      <c r="I174" t="s">
        <v>189</v>
      </c>
      <c r="J174" t="s">
        <v>1331</v>
      </c>
      <c r="K174" t="s">
        <v>705</v>
      </c>
      <c r="L174" s="2" t="s">
        <v>1086</v>
      </c>
      <c r="M174" t="str">
        <f t="shared" si="2"/>
        <v>, ('Table','jobs','TCandidateLanguageProficiency','','LanguageProficiencyIdentifier','Feature','Job','Candidates','CandidateLanguageProficiency','candidates-languages-proficiencies','{proficiency:guid}','5E903AFC-F76E-4C21-A640-B3F5A4198CE7')</v>
      </c>
    </row>
    <row r="175" spans="1:13" x14ac:dyDescent="0.25">
      <c r="A175" t="s">
        <v>57</v>
      </c>
      <c r="B175" t="s">
        <v>170</v>
      </c>
      <c r="C175" t="s">
        <v>188</v>
      </c>
      <c r="D175" t="s">
        <v>1087</v>
      </c>
      <c r="E175" t="s">
        <v>163</v>
      </c>
      <c r="F175" t="s">
        <v>1213</v>
      </c>
      <c r="G175" t="s">
        <v>169</v>
      </c>
      <c r="H175" t="s">
        <v>173</v>
      </c>
      <c r="I175" t="s">
        <v>186</v>
      </c>
      <c r="J175" t="s">
        <v>187</v>
      </c>
      <c r="K175" t="s">
        <v>704</v>
      </c>
      <c r="L175" t="s">
        <v>1088</v>
      </c>
      <c r="M175" t="str">
        <f t="shared" si="2"/>
        <v>, ('Table','jobs','TCandidateUpload','TCandidateFile','UploadIdentifier','Feature','Job','Candidates','CandidateFile','candidates-files','{file:guid}','D87C6E40-6D57-4461-99FE-1016F986374A')</v>
      </c>
    </row>
    <row r="176" spans="1:13" x14ac:dyDescent="0.25">
      <c r="A176" t="s">
        <v>57</v>
      </c>
      <c r="B176" t="s">
        <v>170</v>
      </c>
      <c r="C176" t="s">
        <v>195</v>
      </c>
      <c r="E176" t="s">
        <v>196</v>
      </c>
      <c r="F176" t="s">
        <v>1213</v>
      </c>
      <c r="G176" t="s">
        <v>169</v>
      </c>
      <c r="H176" t="s">
        <v>192</v>
      </c>
      <c r="I176" t="s">
        <v>193</v>
      </c>
      <c r="J176" t="s">
        <v>194</v>
      </c>
      <c r="K176" t="s">
        <v>1089</v>
      </c>
      <c r="L176" t="s">
        <v>1090</v>
      </c>
      <c r="M176" t="str">
        <f t="shared" si="2"/>
        <v>, ('Table','jobs','TOpportunity','','OpportunityIdentifier','Feature','Job','Opportunities','Opportunity','opportunities','{opportunity:guid}','41557A9A-1483-4855-BCE6-AAEC962A04CB')</v>
      </c>
    </row>
    <row r="177" spans="1:13" x14ac:dyDescent="0.25">
      <c r="A177" t="s">
        <v>57</v>
      </c>
      <c r="B177" t="s">
        <v>170</v>
      </c>
      <c r="C177" t="s">
        <v>199</v>
      </c>
      <c r="E177" t="s">
        <v>200</v>
      </c>
      <c r="F177" t="s">
        <v>1213</v>
      </c>
      <c r="G177" t="s">
        <v>169</v>
      </c>
      <c r="H177" t="s">
        <v>192</v>
      </c>
      <c r="I177" t="s">
        <v>197</v>
      </c>
      <c r="J177" t="s">
        <v>198</v>
      </c>
      <c r="K177" t="s">
        <v>706</v>
      </c>
      <c r="L177" t="s">
        <v>1091</v>
      </c>
      <c r="M177" t="str">
        <f t="shared" si="2"/>
        <v>, ('Table','jobs','TOpportunityCategory','','JunctionIdentifier','Feature','Job','Opportunities','OpportunityCategory','opportunities-categories','{category:guid}','82812662-896D-4FAD-93B4-5BA5621BDC08')</v>
      </c>
    </row>
    <row r="178" spans="1:13" x14ac:dyDescent="0.25">
      <c r="A178" t="s">
        <v>57</v>
      </c>
      <c r="B178" t="s">
        <v>798</v>
      </c>
      <c r="C178" t="s">
        <v>800</v>
      </c>
      <c r="E178" t="s">
        <v>801</v>
      </c>
      <c r="F178" t="s">
        <v>1213</v>
      </c>
      <c r="G178" t="s">
        <v>201</v>
      </c>
      <c r="H178" t="s">
        <v>814</v>
      </c>
      <c r="I178" t="s">
        <v>1092</v>
      </c>
      <c r="J178" t="s">
        <v>824</v>
      </c>
      <c r="K178" t="s">
        <v>825</v>
      </c>
      <c r="L178" t="s">
        <v>799</v>
      </c>
      <c r="M178" t="str">
        <f t="shared" si="2"/>
        <v>, ('Table','learning','TCatalog','','CatalogIdentifier','Feature','Learning','Catalogs','Catalog','catalogs','{catalog:guid}','0959DCF3-867F-411B-98C0-145C2776BC30')</v>
      </c>
    </row>
    <row r="179" spans="1:13" x14ac:dyDescent="0.25">
      <c r="A179" t="s">
        <v>57</v>
      </c>
      <c r="B179" t="s">
        <v>798</v>
      </c>
      <c r="C179" t="s">
        <v>803</v>
      </c>
      <c r="E179" t="s">
        <v>804</v>
      </c>
      <c r="F179" t="s">
        <v>1213</v>
      </c>
      <c r="G179" t="s">
        <v>201</v>
      </c>
      <c r="H179" t="s">
        <v>209</v>
      </c>
      <c r="I179" t="s">
        <v>1093</v>
      </c>
      <c r="J179" t="s">
        <v>823</v>
      </c>
      <c r="K179" t="s">
        <v>822</v>
      </c>
      <c r="L179" t="s">
        <v>802</v>
      </c>
      <c r="M179" t="str">
        <f t="shared" si="2"/>
        <v>, ('Table','learning','TCourseCategory','','CourseIdentifier,ItemIdentifier','Feature','Learning','Courses','CourseCategory','courses-categories','{course:guid}/{category:guid}','95EDF521-A388-4BB9-8D61-AFE3F34599EE')</v>
      </c>
    </row>
    <row r="180" spans="1:13" x14ac:dyDescent="0.25">
      <c r="A180" t="s">
        <v>57</v>
      </c>
      <c r="B180" t="s">
        <v>582</v>
      </c>
      <c r="C180" t="s">
        <v>615</v>
      </c>
      <c r="D180" t="s">
        <v>1094</v>
      </c>
      <c r="E180" t="s">
        <v>617</v>
      </c>
      <c r="F180" t="s">
        <v>687</v>
      </c>
      <c r="G180" t="s">
        <v>1192</v>
      </c>
      <c r="H180" t="s">
        <v>1204</v>
      </c>
      <c r="I180" t="s">
        <v>615</v>
      </c>
      <c r="J180" t="s">
        <v>616</v>
      </c>
      <c r="K180" t="s">
        <v>1095</v>
      </c>
      <c r="L180" t="s">
        <v>1096</v>
      </c>
      <c r="M180" t="str">
        <f t="shared" si="2"/>
        <v>, ('Table','logs','Aggregate','TAggregate','AggregateIdentifier','Utility','Timeline','Changes','Aggregate','aggregates','{aggregate:guid}','59A58718-1DDD-45EB-91E2-B5708590B47D')</v>
      </c>
    </row>
    <row r="181" spans="1:13" x14ac:dyDescent="0.25">
      <c r="A181" t="s">
        <v>57</v>
      </c>
      <c r="B181" t="s">
        <v>582</v>
      </c>
      <c r="C181" t="s">
        <v>619</v>
      </c>
      <c r="D181" t="s">
        <v>1211</v>
      </c>
      <c r="E181" t="s">
        <v>342</v>
      </c>
      <c r="F181" t="s">
        <v>687</v>
      </c>
      <c r="G181" t="s">
        <v>1192</v>
      </c>
      <c r="H181" t="s">
        <v>1204</v>
      </c>
      <c r="I181" t="s">
        <v>619</v>
      </c>
      <c r="J181" t="s">
        <v>1205</v>
      </c>
      <c r="K181" t="s">
        <v>340</v>
      </c>
      <c r="L181" t="s">
        <v>1097</v>
      </c>
      <c r="M181" t="str">
        <f t="shared" si="2"/>
        <v>, ('Table','logs','Change','TChange','AggregateIdentifier,AggregateVersion','Utility','Timeline','Changes','Change','changes','{aggregate:guid}/{version:int}','E51E6910-7D1B-42AD-A496-599B3E01D737')</v>
      </c>
    </row>
    <row r="182" spans="1:13" x14ac:dyDescent="0.25">
      <c r="A182" t="s">
        <v>57</v>
      </c>
      <c r="B182" t="s">
        <v>582</v>
      </c>
      <c r="C182" t="s">
        <v>612</v>
      </c>
      <c r="D182" t="s">
        <v>1098</v>
      </c>
      <c r="E182" t="s">
        <v>614</v>
      </c>
      <c r="F182" t="s">
        <v>687</v>
      </c>
      <c r="G182" t="s">
        <v>1192</v>
      </c>
      <c r="H182" t="s">
        <v>735</v>
      </c>
      <c r="I182" t="s">
        <v>612</v>
      </c>
      <c r="J182" t="s">
        <v>613</v>
      </c>
      <c r="K182" t="s">
        <v>1099</v>
      </c>
      <c r="L182" t="s">
        <v>1100</v>
      </c>
      <c r="M182" t="str">
        <f t="shared" si="2"/>
        <v>, ('Table','logs','Command','TCommand','CommandIdentifier','Utility','Timeline','Commands','Command','commands','{command:guid}','2A117058-0BFB-4F20-A623-D20F9B8F8EA1')</v>
      </c>
    </row>
    <row r="183" spans="1:13" x14ac:dyDescent="0.25">
      <c r="A183" t="s">
        <v>57</v>
      </c>
      <c r="B183" t="s">
        <v>582</v>
      </c>
      <c r="C183" t="s">
        <v>620</v>
      </c>
      <c r="D183" t="s">
        <v>1101</v>
      </c>
      <c r="E183" t="s">
        <v>617</v>
      </c>
      <c r="F183" t="s">
        <v>687</v>
      </c>
      <c r="G183" t="s">
        <v>1192</v>
      </c>
      <c r="H183" t="s">
        <v>1204</v>
      </c>
      <c r="I183" t="s">
        <v>620</v>
      </c>
      <c r="J183" t="s">
        <v>621</v>
      </c>
      <c r="K183" t="s">
        <v>718</v>
      </c>
      <c r="L183" s="2" t="s">
        <v>1102</v>
      </c>
      <c r="M183" t="str">
        <f t="shared" si="2"/>
        <v>, ('Table','logs','Snapshot','TSnapshot','AggregateIdentifier','Utility','Timeline','Changes','Snapshot','snapshots','{snapshot:guid}','C8C7C7BD-AA32-4AF6-85AA-671A81FA1D85')</v>
      </c>
    </row>
    <row r="184" spans="1:13" x14ac:dyDescent="0.25">
      <c r="A184" t="s">
        <v>57</v>
      </c>
      <c r="B184" t="s">
        <v>1171</v>
      </c>
      <c r="C184" t="s">
        <v>1172</v>
      </c>
      <c r="E184" t="s">
        <v>1160</v>
      </c>
      <c r="F184" t="s">
        <v>687</v>
      </c>
      <c r="G184" t="s">
        <v>622</v>
      </c>
      <c r="H184" t="s">
        <v>1183</v>
      </c>
      <c r="I184" t="s">
        <v>1181</v>
      </c>
      <c r="J184" t="s">
        <v>1178</v>
      </c>
      <c r="K184" t="s">
        <v>1179</v>
      </c>
      <c r="L184" t="s">
        <v>1173</v>
      </c>
      <c r="M184" t="str">
        <f t="shared" si="2"/>
        <v>, ('Table','metadata','TEntity','','EntityId','Utility','Metadata','Entities','Entity','entities','{entity:guid}','5670193F-C2A1-45F9-861C-90A8AEEF305B')</v>
      </c>
    </row>
    <row r="185" spans="1:13" x14ac:dyDescent="0.25">
      <c r="A185" t="s">
        <v>57</v>
      </c>
      <c r="B185" t="s">
        <v>58</v>
      </c>
      <c r="C185" t="s">
        <v>59</v>
      </c>
      <c r="E185" t="s">
        <v>60</v>
      </c>
      <c r="F185" t="s">
        <v>1213</v>
      </c>
      <c r="G185" t="s">
        <v>53</v>
      </c>
      <c r="H185" t="s">
        <v>54</v>
      </c>
      <c r="I185" t="s">
        <v>55</v>
      </c>
      <c r="J185" t="s">
        <v>56</v>
      </c>
      <c r="K185" t="s">
        <v>1103</v>
      </c>
      <c r="L185" t="s">
        <v>1104</v>
      </c>
      <c r="M185" t="str">
        <f t="shared" si="2"/>
        <v>, ('Table','payments','TDiscount','','DiscountIdentifier','Feature','Billing','Discounts','Discount','discounts','{discount:guid}','6C65249C-AFF1-4581-98E9-6CC0149A8814')</v>
      </c>
    </row>
    <row r="186" spans="1:13" x14ac:dyDescent="0.25">
      <c r="A186" t="s">
        <v>57</v>
      </c>
      <c r="B186" t="s">
        <v>753</v>
      </c>
      <c r="C186" t="s">
        <v>318</v>
      </c>
      <c r="E186" t="s">
        <v>850</v>
      </c>
      <c r="F186" t="s">
        <v>1213</v>
      </c>
      <c r="G186" t="s">
        <v>1214</v>
      </c>
      <c r="H186" t="s">
        <v>313</v>
      </c>
      <c r="I186" t="s">
        <v>1209</v>
      </c>
      <c r="J186" t="s">
        <v>1210</v>
      </c>
      <c r="K186" t="s">
        <v>319</v>
      </c>
      <c r="L186" t="s">
        <v>1105</v>
      </c>
      <c r="M186" t="str">
        <f t="shared" si="2"/>
        <v>, ('Table','record','TAchievementCategory','','AchievementIdentifier,ItemIdentifier','Feature','Progress','Achievements','AchievementCategory','achievements-categories','{achievement:guid}/{category:guid}','4F2FCB04-D506-49EB-87B9-2B0E011EDF7C')</v>
      </c>
    </row>
    <row r="187" spans="1:13" x14ac:dyDescent="0.25">
      <c r="A187" t="s">
        <v>57</v>
      </c>
      <c r="B187" t="s">
        <v>219</v>
      </c>
      <c r="C187" t="s">
        <v>333</v>
      </c>
      <c r="D187" t="s">
        <v>1107</v>
      </c>
      <c r="E187" t="s">
        <v>334</v>
      </c>
      <c r="F187" t="s">
        <v>1213</v>
      </c>
      <c r="G187" t="s">
        <v>1214</v>
      </c>
      <c r="H187" t="s">
        <v>330</v>
      </c>
      <c r="I187" t="s">
        <v>331</v>
      </c>
      <c r="J187" t="s">
        <v>332</v>
      </c>
      <c r="K187" t="s">
        <v>720</v>
      </c>
      <c r="L187" t="s">
        <v>1108</v>
      </c>
      <c r="M187" t="str">
        <f t="shared" si="2"/>
        <v>, ('Table','records','TCertificateLayout','TCertificate','CertificateLayoutIdentifier','Feature','Progress','Certificates','Certificate','certificates','{certificate:guid}','547D321A-78A9-43E7-99B3-ACD2763FBA12')</v>
      </c>
    </row>
    <row r="188" spans="1:13" x14ac:dyDescent="0.25">
      <c r="A188" t="s">
        <v>57</v>
      </c>
      <c r="B188" t="s">
        <v>219</v>
      </c>
      <c r="C188" t="s">
        <v>253</v>
      </c>
      <c r="E188" t="s">
        <v>254</v>
      </c>
      <c r="F188" t="s">
        <v>1213</v>
      </c>
      <c r="G188" t="s">
        <v>201</v>
      </c>
      <c r="H188" t="s">
        <v>250</v>
      </c>
      <c r="I188" t="s">
        <v>251</v>
      </c>
      <c r="J188" t="s">
        <v>252</v>
      </c>
      <c r="K188" t="s">
        <v>733</v>
      </c>
      <c r="L188" t="s">
        <v>1109</v>
      </c>
      <c r="M188" t="str">
        <f t="shared" si="2"/>
        <v>, ('Table','records','TPrerequisite','','PrerequisiteIdentifier','Feature','Learning','Prerequisites','Prerequisite','prerequisites','{prerequisite:guid}','9CFD07C4-FA15-4164-891C-EF48C6703E31')</v>
      </c>
    </row>
    <row r="189" spans="1:13" x14ac:dyDescent="0.25">
      <c r="A189" t="s">
        <v>57</v>
      </c>
      <c r="B189" t="s">
        <v>219</v>
      </c>
      <c r="C189" t="s">
        <v>259</v>
      </c>
      <c r="E189" t="s">
        <v>260</v>
      </c>
      <c r="F189" t="s">
        <v>1213</v>
      </c>
      <c r="G189" t="s">
        <v>201</v>
      </c>
      <c r="H189" t="s">
        <v>256</v>
      </c>
      <c r="I189" t="s">
        <v>257</v>
      </c>
      <c r="J189" t="s">
        <v>258</v>
      </c>
      <c r="K189" t="s">
        <v>1110</v>
      </c>
      <c r="L189" t="s">
        <v>1111</v>
      </c>
      <c r="M189" t="str">
        <f t="shared" si="2"/>
        <v>, ('Table','records','TProgram','','ProgramIdentifier','Feature','Learning','Programs','Program','programs','{program:guid}','D656C3FC-723D-4819-8236-6E6689E29079')</v>
      </c>
    </row>
    <row r="190" spans="1:13" x14ac:dyDescent="0.25">
      <c r="A190" t="s">
        <v>57</v>
      </c>
      <c r="B190" t="s">
        <v>219</v>
      </c>
      <c r="C190" t="s">
        <v>263</v>
      </c>
      <c r="E190" t="s">
        <v>215</v>
      </c>
      <c r="F190" t="s">
        <v>1213</v>
      </c>
      <c r="G190" t="s">
        <v>201</v>
      </c>
      <c r="H190" t="s">
        <v>212</v>
      </c>
      <c r="I190" t="s">
        <v>261</v>
      </c>
      <c r="J190" t="s">
        <v>262</v>
      </c>
      <c r="K190" t="s">
        <v>729</v>
      </c>
      <c r="L190" t="s">
        <v>1112</v>
      </c>
      <c r="M190" t="str">
        <f t="shared" si="2"/>
        <v>, ('Table','records','TProgramEnrollment','','EnrollmentIdentifier','Feature','Learning','Enrollments','ProgramEnrollment','programs-enrollments','{enrollment:guid}','B73B6B68-C0FC-4CCF-89D8-BA3E4AFAC532')</v>
      </c>
    </row>
    <row r="191" spans="1:13" x14ac:dyDescent="0.25">
      <c r="A191" t="s">
        <v>57</v>
      </c>
      <c r="B191" t="s">
        <v>219</v>
      </c>
      <c r="C191" t="s">
        <v>266</v>
      </c>
      <c r="E191" t="s">
        <v>267</v>
      </c>
      <c r="F191" t="s">
        <v>1213</v>
      </c>
      <c r="G191" t="s">
        <v>201</v>
      </c>
      <c r="H191" t="s">
        <v>256</v>
      </c>
      <c r="I191" t="s">
        <v>264</v>
      </c>
      <c r="J191" t="s">
        <v>265</v>
      </c>
      <c r="K191" t="s">
        <v>1117</v>
      </c>
      <c r="L191" t="s">
        <v>1118</v>
      </c>
      <c r="M191" t="str">
        <f t="shared" si="2"/>
        <v>, ('Table','records','TTask','','TaskIdentifier','Feature','Learning','Programs','Task','tasks','{task:guid}','CC1C4060-943A-4090-9D9E-0689192C9B69')</v>
      </c>
    </row>
    <row r="192" spans="1:13" x14ac:dyDescent="0.25">
      <c r="A192" t="s">
        <v>57</v>
      </c>
      <c r="B192" t="s">
        <v>219</v>
      </c>
      <c r="C192" t="s">
        <v>270</v>
      </c>
      <c r="E192" t="s">
        <v>215</v>
      </c>
      <c r="F192" t="s">
        <v>1213</v>
      </c>
      <c r="G192" t="s">
        <v>201</v>
      </c>
      <c r="H192" t="s">
        <v>212</v>
      </c>
      <c r="I192" t="s">
        <v>268</v>
      </c>
      <c r="J192" t="s">
        <v>269</v>
      </c>
      <c r="K192" t="s">
        <v>729</v>
      </c>
      <c r="L192" s="2" t="s">
        <v>1119</v>
      </c>
      <c r="M192" t="str">
        <f t="shared" si="2"/>
        <v>, ('Table','records','TTaskEnrollment','','EnrollmentIdentifier','Feature','Learning','Enrollments','TaskEnrollment','tasks-enrollments','{enrollment:guid}','9802E715-57B1-43A3-8E9B-C7DE6671E065')</v>
      </c>
    </row>
    <row r="193" spans="1:13" x14ac:dyDescent="0.25">
      <c r="A193" t="s">
        <v>57</v>
      </c>
      <c r="B193" t="s">
        <v>351</v>
      </c>
      <c r="C193" t="s">
        <v>603</v>
      </c>
      <c r="D193" t="s">
        <v>1332</v>
      </c>
      <c r="E193" t="s">
        <v>598</v>
      </c>
      <c r="F193" t="s">
        <v>535</v>
      </c>
      <c r="G193" t="s">
        <v>602</v>
      </c>
      <c r="H193" t="s">
        <v>1333</v>
      </c>
      <c r="I193" t="s">
        <v>1334</v>
      </c>
      <c r="J193" t="s">
        <v>1335</v>
      </c>
      <c r="K193" t="s">
        <v>1193</v>
      </c>
      <c r="L193" t="s">
        <v>1120</v>
      </c>
      <c r="M193" t="str">
        <f t="shared" si="2"/>
        <v>, ('Table','reports','ApiRequest','TApiCall','RequestIdentifier','Plugin','Integration','Hub','ApiCall','api-calls','{transaction:guid}','627B1F53-CCA1-4AB5-9B26-45E30EC14AAE')</v>
      </c>
    </row>
    <row r="194" spans="1:13" x14ac:dyDescent="0.25">
      <c r="A194" t="s">
        <v>57</v>
      </c>
      <c r="B194" t="s">
        <v>351</v>
      </c>
      <c r="C194" t="s">
        <v>385</v>
      </c>
      <c r="D194" s="2"/>
      <c r="E194" t="s">
        <v>386</v>
      </c>
      <c r="F194" t="s">
        <v>1213</v>
      </c>
      <c r="G194" t="s">
        <v>688</v>
      </c>
      <c r="H194" t="s">
        <v>382</v>
      </c>
      <c r="I194" t="s">
        <v>383</v>
      </c>
      <c r="J194" t="s">
        <v>384</v>
      </c>
      <c r="K194" t="s">
        <v>719</v>
      </c>
      <c r="L194" t="s">
        <v>1121</v>
      </c>
      <c r="M194" t="str">
        <f t="shared" ref="M194:M257" si="3">", ('" &amp; A194 &amp; "','" &amp; B194 &amp; "','" &amp; C194 &amp; "','" &amp; D194 &amp; "','" &amp; E194 &amp; "','" &amp; F194 &amp; "','" &amp; G194 &amp; "','" &amp; H194 &amp; "','" &amp; I194 &amp; "','" &amp; J194 &amp; "','" &amp; K194 &amp; "','" &amp; L194 &amp; "')"</f>
        <v>, ('Table','reports','TMeasurement','','MeasurementIdentifier','Feature','Reporting','Measurements','Measurement','measurements','{measurement:guid}','C27B4DFD-578B-4FEA-B044-498579036F90')</v>
      </c>
    </row>
    <row r="195" spans="1:13" x14ac:dyDescent="0.25">
      <c r="A195" t="s">
        <v>57</v>
      </c>
      <c r="B195" t="s">
        <v>351</v>
      </c>
      <c r="C195" t="s">
        <v>388</v>
      </c>
      <c r="E195" t="s">
        <v>389</v>
      </c>
      <c r="F195" t="s">
        <v>1213</v>
      </c>
      <c r="G195" t="s">
        <v>688</v>
      </c>
      <c r="H195" t="s">
        <v>387</v>
      </c>
      <c r="I195" t="s">
        <v>381</v>
      </c>
      <c r="J195" t="s">
        <v>351</v>
      </c>
      <c r="K195" t="s">
        <v>714</v>
      </c>
      <c r="L195" t="s">
        <v>1122</v>
      </c>
      <c r="M195" t="str">
        <f t="shared" si="3"/>
        <v>, ('Table','reports','TReport','','ReportIdentifier','Feature','Reporting','Reports','Report','reports','{report:guid}','210C6A6B-8A28-4A33-9616-944A20ED2F3A')</v>
      </c>
    </row>
    <row r="196" spans="1:13" x14ac:dyDescent="0.25">
      <c r="A196" t="s">
        <v>57</v>
      </c>
      <c r="B196" t="s">
        <v>162</v>
      </c>
      <c r="C196" t="s">
        <v>160</v>
      </c>
      <c r="D196" t="s">
        <v>1123</v>
      </c>
      <c r="E196" t="s">
        <v>163</v>
      </c>
      <c r="F196" t="s">
        <v>1213</v>
      </c>
      <c r="G196" t="s">
        <v>118</v>
      </c>
      <c r="H196" t="s">
        <v>125</v>
      </c>
      <c r="I196" t="s">
        <v>160</v>
      </c>
      <c r="J196" t="s">
        <v>161</v>
      </c>
      <c r="K196" t="s">
        <v>1124</v>
      </c>
      <c r="L196" t="s">
        <v>1125</v>
      </c>
      <c r="M196" t="str">
        <f t="shared" si="3"/>
        <v>, ('Table','resources','Upload','TUpload','UploadIdentifier','Feature','Content','Files','Upload','uploads','{upload:guid}','62E5A1F9-E272-43FB-AAC7-03218389CA28')</v>
      </c>
    </row>
    <row r="197" spans="1:13" x14ac:dyDescent="0.25">
      <c r="A197" t="s">
        <v>57</v>
      </c>
      <c r="B197" t="s">
        <v>162</v>
      </c>
      <c r="C197" t="s">
        <v>167</v>
      </c>
      <c r="D197" t="s">
        <v>1126</v>
      </c>
      <c r="E197" t="s">
        <v>168</v>
      </c>
      <c r="F197" t="s">
        <v>1213</v>
      </c>
      <c r="G197" t="s">
        <v>118</v>
      </c>
      <c r="H197" t="s">
        <v>125</v>
      </c>
      <c r="I197" t="s">
        <v>164</v>
      </c>
      <c r="J197" t="s">
        <v>165</v>
      </c>
      <c r="K197" t="s">
        <v>166</v>
      </c>
      <c r="L197" t="s">
        <v>1127</v>
      </c>
      <c r="M197" t="str">
        <f t="shared" si="3"/>
        <v>, ('Table','resources','UploadRelation','TUploadObject','ContainerIdentifier,UploadIdentifier','Feature','Content','Files','UploadObject','uploads-objects','{upload:guid}/{object:guid}','0254AF4C-70F3-4F38-8AEE-668C93D932ED')</v>
      </c>
    </row>
    <row r="198" spans="1:13" x14ac:dyDescent="0.25">
      <c r="A198" t="s">
        <v>57</v>
      </c>
      <c r="B198" t="s">
        <v>1174</v>
      </c>
      <c r="C198" t="s">
        <v>1175</v>
      </c>
      <c r="D198" t="s">
        <v>1336</v>
      </c>
      <c r="E198" t="s">
        <v>96</v>
      </c>
      <c r="F198" t="s">
        <v>687</v>
      </c>
      <c r="G198" t="s">
        <v>1264</v>
      </c>
      <c r="H198" t="s">
        <v>1182</v>
      </c>
      <c r="I198" t="s">
        <v>1337</v>
      </c>
      <c r="J198" t="s">
        <v>1338</v>
      </c>
      <c r="K198" t="s">
        <v>694</v>
      </c>
      <c r="L198" t="s">
        <v>1176</v>
      </c>
      <c r="M198" t="str">
        <f t="shared" si="3"/>
        <v>, ('Table','security','TPartitionSetting','TPartitionField','SettingIdentifier','Utility','Platform','Partitions','PartitionField','partitions-fields','{setting:guid}','BEF74AA6-952B-4255-8AE2-D22F1BBA4D8B')</v>
      </c>
    </row>
    <row r="199" spans="1:13" x14ac:dyDescent="0.25">
      <c r="A199" t="s">
        <v>57</v>
      </c>
      <c r="B199" t="s">
        <v>627</v>
      </c>
      <c r="C199" t="s">
        <v>628</v>
      </c>
      <c r="E199" t="s">
        <v>629</v>
      </c>
      <c r="F199" t="s">
        <v>687</v>
      </c>
      <c r="G199" t="s">
        <v>1264</v>
      </c>
      <c r="H199" t="s">
        <v>1339</v>
      </c>
      <c r="I199" t="s">
        <v>1187</v>
      </c>
      <c r="J199" t="s">
        <v>1188</v>
      </c>
      <c r="K199" t="s">
        <v>1340</v>
      </c>
      <c r="L199" t="s">
        <v>1128</v>
      </c>
      <c r="M199" t="str">
        <f t="shared" si="3"/>
        <v>, ('Table','settings','TAction','','ActionIdentifier','Utility','Platform','Routes','Action','actions','{id:guid}','130AEAD9-BD7D-49A0-A894-B9C3CCDD0AA5')</v>
      </c>
    </row>
    <row r="200" spans="1:13" x14ac:dyDescent="0.25">
      <c r="A200" t="s">
        <v>57</v>
      </c>
      <c r="B200" t="s">
        <v>627</v>
      </c>
      <c r="C200" t="s">
        <v>633</v>
      </c>
      <c r="E200" t="s">
        <v>634</v>
      </c>
      <c r="F200" t="s">
        <v>687</v>
      </c>
      <c r="G200" t="s">
        <v>622</v>
      </c>
      <c r="H200" t="s">
        <v>738</v>
      </c>
      <c r="I200" t="s">
        <v>630</v>
      </c>
      <c r="J200" t="s">
        <v>631</v>
      </c>
      <c r="K200" t="s">
        <v>632</v>
      </c>
      <c r="L200" t="s">
        <v>1129</v>
      </c>
      <c r="M200" t="str">
        <f t="shared" si="3"/>
        <v>, ('Table','settings','TSequence','','OrganizationIdentifier,SequenceNumber,SequenceType','Utility','Metadata','Sequences','Sequence','sequences','{organization:guid}/{type}/{number:int}','1C024CA6-A584-4DC5-883C-BDFC47C541AF')</v>
      </c>
    </row>
    <row r="201" spans="1:13" x14ac:dyDescent="0.25">
      <c r="A201" t="s">
        <v>57</v>
      </c>
      <c r="B201" t="s">
        <v>429</v>
      </c>
      <c r="C201" t="s">
        <v>447</v>
      </c>
      <c r="D201" t="s">
        <v>1142</v>
      </c>
      <c r="E201" t="s">
        <v>448</v>
      </c>
      <c r="F201" t="s">
        <v>1213</v>
      </c>
      <c r="G201" t="s">
        <v>1257</v>
      </c>
      <c r="H201" t="s">
        <v>442</v>
      </c>
      <c r="I201" t="s">
        <v>444</v>
      </c>
      <c r="J201" t="s">
        <v>445</v>
      </c>
      <c r="K201" t="s">
        <v>446</v>
      </c>
      <c r="L201" t="s">
        <v>1143</v>
      </c>
      <c r="M201" t="str">
        <f t="shared" si="3"/>
        <v>, ('Table','standards','DepartmentProfileCompetency','TProfileGroupCompetency','CompetencyStandardIdentifier,DepartmentIdentifier,ProfileStandardIdentifier','Feature','Competency','Standards','ProfileGroupCompetency','profiles-groups-competencies','{profile:guid}/{group:guid}/{competency:guid}','E050D143-6DBB-41A7-845E-81E1A8370CBF')</v>
      </c>
    </row>
    <row r="202" spans="1:13" x14ac:dyDescent="0.25">
      <c r="A202" t="s">
        <v>57</v>
      </c>
      <c r="B202" t="s">
        <v>429</v>
      </c>
      <c r="C202" t="s">
        <v>452</v>
      </c>
      <c r="D202" t="s">
        <v>1144</v>
      </c>
      <c r="E202" t="s">
        <v>453</v>
      </c>
      <c r="F202" t="s">
        <v>1213</v>
      </c>
      <c r="G202" t="s">
        <v>1257</v>
      </c>
      <c r="H202" t="s">
        <v>442</v>
      </c>
      <c r="I202" t="s">
        <v>449</v>
      </c>
      <c r="J202" t="s">
        <v>450</v>
      </c>
      <c r="K202" t="s">
        <v>451</v>
      </c>
      <c r="L202" t="s">
        <v>1145</v>
      </c>
      <c r="M202" t="str">
        <f t="shared" si="3"/>
        <v>, ('Table','standards','DepartmentProfileUser','TProfileGroupLearner','DepartmentIdentifier,ProfileStandardIdentifier,UserIdentifier','Feature','Competency','Standards','ProfileGroupLearner','profiles-groups-learners','{profile:guid}/{group:guid}/{learner:guid}','F3F49E5D-7D13-497A-A3B1-491E247923F4')</v>
      </c>
    </row>
    <row r="203" spans="1:13" x14ac:dyDescent="0.25">
      <c r="A203" t="s">
        <v>57</v>
      </c>
      <c r="B203" t="s">
        <v>623</v>
      </c>
      <c r="C203" t="s">
        <v>625</v>
      </c>
      <c r="D203" t="s">
        <v>1341</v>
      </c>
      <c r="E203" t="s">
        <v>626</v>
      </c>
      <c r="F203" t="s">
        <v>687</v>
      </c>
      <c r="G203" t="s">
        <v>1264</v>
      </c>
      <c r="H203" t="s">
        <v>737</v>
      </c>
      <c r="I203" t="s">
        <v>1342</v>
      </c>
      <c r="J203" t="s">
        <v>1343</v>
      </c>
      <c r="K203" t="s">
        <v>1186</v>
      </c>
      <c r="L203" t="s">
        <v>1146</v>
      </c>
      <c r="M203" t="str">
        <f t="shared" si="3"/>
        <v>, ('Table','utilities','TCollection','TLookupList','CollectionIdentifier','Utility','Platform','Lookups','LookupList','lookups-lists','{collection:guid}','87645F5E-D0AF-46D7-B778-2AE66A63AE62')</v>
      </c>
    </row>
    <row r="204" spans="1:13" x14ac:dyDescent="0.25">
      <c r="A204" t="s">
        <v>57</v>
      </c>
      <c r="B204" t="s">
        <v>623</v>
      </c>
      <c r="C204" t="s">
        <v>624</v>
      </c>
      <c r="D204" t="s">
        <v>1344</v>
      </c>
      <c r="E204" t="s">
        <v>69</v>
      </c>
      <c r="F204" t="s">
        <v>687</v>
      </c>
      <c r="G204" t="s">
        <v>1264</v>
      </c>
      <c r="H204" t="s">
        <v>737</v>
      </c>
      <c r="I204" t="s">
        <v>1345</v>
      </c>
      <c r="J204" t="s">
        <v>1346</v>
      </c>
      <c r="K204" t="s">
        <v>692</v>
      </c>
      <c r="L204" t="s">
        <v>1147</v>
      </c>
      <c r="M204" t="str">
        <f t="shared" si="3"/>
        <v>, ('Table','utilities','TCollectionItem','TLookupItem','ItemIdentifier','Utility','Platform','Lookups','LookupItem','lookups-items','{item:guid}','11698F0E-6BC7-4450-9F14-3511E6A9CE2A')</v>
      </c>
    </row>
    <row r="205" spans="1:13" x14ac:dyDescent="0.25">
      <c r="A205" t="s">
        <v>57</v>
      </c>
      <c r="B205" t="s">
        <v>623</v>
      </c>
      <c r="C205" t="s">
        <v>635</v>
      </c>
      <c r="D205" t="s">
        <v>1148</v>
      </c>
      <c r="E205" t="s">
        <v>637</v>
      </c>
      <c r="F205" t="s">
        <v>687</v>
      </c>
      <c r="G205" t="s">
        <v>622</v>
      </c>
      <c r="H205" t="s">
        <v>1347</v>
      </c>
      <c r="I205" t="s">
        <v>635</v>
      </c>
      <c r="J205" t="s">
        <v>636</v>
      </c>
      <c r="K205" t="s">
        <v>1149</v>
      </c>
      <c r="L205" t="s">
        <v>1150</v>
      </c>
      <c r="M205" t="str">
        <f t="shared" si="3"/>
        <v>, ('Table','utilities','Upgrade','TUpgrade','UpgradeIdentifier','Utility','Metadata','Upgrades','Upgrade','upgrades','{upgrade:guid}','BA123DB1-AC84-42E2-874F-9835D9AC1CC9')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Miller</cp:lastModifiedBy>
  <dcterms:created xsi:type="dcterms:W3CDTF">2025-01-16T04:03:16Z</dcterms:created>
  <dcterms:modified xsi:type="dcterms:W3CDTF">2025-07-31T17:41:16Z</dcterms:modified>
</cp:coreProperties>
</file>